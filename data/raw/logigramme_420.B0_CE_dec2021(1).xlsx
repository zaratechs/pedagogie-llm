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collegemv.sharepoint.com/sites/DECinformatique420.B0/Documents partages/Grilles et logigramme/logigramme_grilleDeCours_nov2021/"/>
    </mc:Choice>
  </mc:AlternateContent>
  <xr:revisionPtr revIDLastSave="262" documentId="13_ncr:1_{B3847E13-C0A1-480B-8FDD-0C9664A0FC6D}" xr6:coauthVersionLast="47" xr6:coauthVersionMax="47" xr10:uidLastSave="{05E10FF6-B986-48E1-B694-0760E083128A}"/>
  <bookViews>
    <workbookView xWindow="57480" yWindow="-120" windowWidth="29040" windowHeight="15840" firstSheet="1" activeTab="2" xr2:uid="{85F48E7E-B762-497F-BED1-8C3EFCE78A07}"/>
  </bookViews>
  <sheets>
    <sheet name="v. Aless (Ancien)" sheetId="4" state="hidden" r:id="rId1"/>
    <sheet name="logigramme_29octobre" sheetId="16" r:id="rId2"/>
    <sheet name="liste_cours" sheetId="13" r:id="rId3"/>
  </sheets>
  <definedNames>
    <definedName name="_xlnm.Print_Area" localSheetId="1">logigramme_29octobre!$A$1:$X$37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" i="16" l="1"/>
  <c r="D7" i="16"/>
  <c r="D16" i="16"/>
  <c r="D20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4" i="16"/>
  <c r="D33" i="16"/>
  <c r="D32" i="16"/>
  <c r="D31" i="16"/>
  <c r="D30" i="16"/>
  <c r="D29" i="16"/>
  <c r="D28" i="16"/>
  <c r="D27" i="16"/>
  <c r="D25" i="16"/>
  <c r="D24" i="16"/>
  <c r="D23" i="16"/>
  <c r="D22" i="16"/>
  <c r="D21" i="16"/>
  <c r="D19" i="16"/>
  <c r="D18" i="16"/>
  <c r="D17" i="16"/>
  <c r="D14" i="16"/>
  <c r="D13" i="16"/>
  <c r="D12" i="16"/>
  <c r="D11" i="16"/>
  <c r="D10" i="16"/>
  <c r="D9" i="16"/>
  <c r="D8" i="16"/>
  <c r="D35" i="16" l="1"/>
  <c r="D8" i="4" l="1"/>
  <c r="D9" i="4"/>
  <c r="D10" i="4"/>
  <c r="D11" i="4"/>
  <c r="D19" i="4" l="1"/>
  <c r="D37" i="4" l="1"/>
  <c r="D36" i="4"/>
  <c r="D35" i="4"/>
  <c r="D34" i="4"/>
  <c r="D33" i="4"/>
  <c r="D32" i="4"/>
  <c r="D31" i="4"/>
  <c r="D30" i="4"/>
  <c r="D29" i="4"/>
  <c r="D2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D38" i="4" l="1"/>
  <c r="D12" i="4" l="1"/>
  <c r="D13" i="4"/>
  <c r="D14" i="4"/>
  <c r="D15" i="4"/>
  <c r="D16" i="4"/>
  <c r="D17" i="4"/>
  <c r="D18" i="4"/>
  <c r="D20" i="4"/>
  <c r="D21" i="4"/>
  <c r="D22" i="4"/>
  <c r="D23" i="4"/>
  <c r="D24" i="4"/>
  <c r="D25" i="4"/>
  <c r="D26" i="4"/>
  <c r="D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tc={B068C90F-5114-42F3-AE8B-260E89320563}</author>
    <author>tc={5802CBB9-9427-4CBF-8C5A-3CB5134B394D}</author>
    <author>tc={FEDC2835-63CF-4604-9C08-86678F24C92F}</author>
    <author>tc={CD0F8354-AEA7-4F12-83BA-7F76668E2D68}</author>
    <author>tc={AD6E9EFF-8696-44C7-8EAB-D047A2FD8B55}</author>
    <author>tc={D6581EF1-6CBC-4686-ACD9-23D31720C40D}</author>
  </authors>
  <commentList>
    <comment ref="B17" authorId="0" shapeId="0" xr:uid="{B068C90F-5114-42F3-AE8B-260E89320563}">
      <text>
        <t>[Threaded comment]
Your version of Excel allows you to read this threaded comment; however, any edits to it will get removed if the file is opened in a newer version of Excel. Learn more: https://go.microsoft.com/fwlink/?linkid=870924
Comment:
    - Travail en équipe
- Vulgarisation/Interactions avec clients</t>
      </text>
    </comment>
    <comment ref="B20" authorId="1" shapeId="0" xr:uid="{5802CBB9-9427-4CBF-8C5A-3CB5134B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- Présentation des meilleurs platformes pour IdO
- Introduction à un OS pour IdO</t>
      </text>
    </comment>
    <comment ref="B22" authorId="2" shapeId="0" xr:uid="{FEDC2835-63CF-4604-9C08-86678F24C92F}">
      <text>
        <t>[Threaded comment]
Your version of Excel allows you to read this threaded comment; however, any edits to it will get removed if the file is opened in a newer version of Excel. Learn more: https://go.microsoft.com/fwlink/?linkid=870924
Comment:
    - Les restes de la compétence</t>
      </text>
    </comment>
    <comment ref="B23" authorId="3" shapeId="0" xr:uid="{CD0F8354-AEA7-4F12-83BA-7F76668E2D68}">
      <text>
        <t>[Threaded comment]
Your version of Excel allows you to read this threaded comment; however, any edits to it will get removed if the file is opened in a newer version of Excel. Learn more: https://go.microsoft.com/fwlink/?linkid=870924
Comment:
    - Méthodes de travail (Agile)
- Modèles (Architecture) de logiciel</t>
      </text>
    </comment>
    <comment ref="B24" authorId="4" shapeId="0" xr:uid="{AD6E9EFF-8696-44C7-8EAB-D047A2FD8B55}">
      <text>
        <t>[Threaded comment]
Your version of Excel allows you to read this threaded comment; however, any edits to it will get removed if the file is opened in a newer version of Excel. Learn more: https://go.microsoft.com/fwlink/?linkid=870924
Comment:
    - Comment utiliser un IdO pour récolter de l'information
- Comment utiliser/analyser cette information</t>
      </text>
    </comment>
    <comment ref="B33" authorId="5" shapeId="0" xr:uid="{D6581EF1-6CBC-4686-ACD9-23D31720C40D}">
      <text>
        <t>[Threaded comment]
Your version of Excel allows you to read this threaded comment; however, any edits to it will get removed if the file is opened in a newer version of Excel. Learn more: https://go.microsoft.com/fwlink/?linkid=870924
Comment:
    - Je ne suis pas sur de comment distribuer les heures pour le stage</t>
      </text>
    </comment>
  </commentList>
</comments>
</file>

<file path=xl/sharedStrings.xml><?xml version="1.0" encoding="utf-8"?>
<sst xmlns="http://schemas.openxmlformats.org/spreadsheetml/2006/main" count="272" uniqueCount="149">
  <si>
    <t>Département (Technique informatique)</t>
  </si>
  <si>
    <t>COMPÉTENCES DES PROGRAMMES</t>
  </si>
  <si>
    <t>SESSION</t>
  </si>
  <si>
    <t xml:space="preserve">Traiter l'information relative aux réalités du millieur de travail en informatique </t>
  </si>
  <si>
    <t xml:space="preserve">Effectuer l'installation et la gestion d'ordinateur </t>
  </si>
  <si>
    <t xml:space="preserve">Utiliser les langages de programmation </t>
  </si>
  <si>
    <t xml:space="preserve">Résoudre des problèmes d'informatiques avec les mathématiques </t>
  </si>
  <si>
    <t xml:space="preserve">Exploiter des logiciels bureautique </t>
  </si>
  <si>
    <t xml:space="preserve">Effectuer le déploiement d'un réseau informatique local </t>
  </si>
  <si>
    <t xml:space="preserve">Exploiter les principes de la programmation orientée objet </t>
  </si>
  <si>
    <t xml:space="preserve">Exploiter un système de gestion de base de données </t>
  </si>
  <si>
    <t xml:space="preserve">Effectuer des opérations de prévention en matière de sécurité de l'information </t>
  </si>
  <si>
    <t xml:space="preserve">Interagir dans un contexte professionnel </t>
  </si>
  <si>
    <t xml:space="preserve">Évaluer des composants logiciels et matériels </t>
  </si>
  <si>
    <t xml:space="preserve">Fournir du soutien informatique aux utilisatrices et utilisateurs </t>
  </si>
  <si>
    <t xml:space="preserve">S'adapter à des technologies informatiques </t>
  </si>
  <si>
    <t>Effectuer le développement d'applications natives sans base de données</t>
  </si>
  <si>
    <t>Effectuer le développement d'applications natives avec base de données</t>
  </si>
  <si>
    <t>Effectuer le développement d'applications Web non transactionnelles</t>
  </si>
  <si>
    <t>Effectuer le développement d'applications Web transactionnelles</t>
  </si>
  <si>
    <t>Effectuer le développement de services d'échange de données</t>
  </si>
  <si>
    <t>Effectuer le développement d'applications de jeu ou de simulation</t>
  </si>
  <si>
    <t>Effectuer le développement d'applications pour des objets connectés</t>
  </si>
  <si>
    <t>Collaborer à la conception d’applications</t>
  </si>
  <si>
    <t>0000</t>
  </si>
  <si>
    <t>00Q1</t>
  </si>
  <si>
    <t>00Q2</t>
  </si>
  <si>
    <t>00Q3</t>
  </si>
  <si>
    <t>00Q4</t>
  </si>
  <si>
    <t>00Q5</t>
  </si>
  <si>
    <t>00Q6</t>
  </si>
  <si>
    <t>00Q7</t>
  </si>
  <si>
    <t>00Q8</t>
  </si>
  <si>
    <t>00SE</t>
  </si>
  <si>
    <t>00SF</t>
  </si>
  <si>
    <t>00SG</t>
  </si>
  <si>
    <t>00SH</t>
  </si>
  <si>
    <t>00SR</t>
  </si>
  <si>
    <t>00SS</t>
  </si>
  <si>
    <t>00ST</t>
  </si>
  <si>
    <t>00SU</t>
  </si>
  <si>
    <t>00SV</t>
  </si>
  <si>
    <t>00SW</t>
  </si>
  <si>
    <t>00SX</t>
  </si>
  <si>
    <t>00SY</t>
  </si>
  <si>
    <t>COURS</t>
  </si>
  <si>
    <t>Prérequis</t>
  </si>
  <si>
    <t>HC</t>
  </si>
  <si>
    <t>Fonction de travail et responsabilités</t>
  </si>
  <si>
    <t>Programmation orienté-objet 1</t>
  </si>
  <si>
    <t>Mathématiques de l'informatique</t>
  </si>
  <si>
    <t>Systèmes d'exploitation</t>
  </si>
  <si>
    <t>Programmation orienté-objet 2</t>
  </si>
  <si>
    <t>Ligne 9</t>
  </si>
  <si>
    <t>Outils de bureautique</t>
  </si>
  <si>
    <t>Introduction aux réseaux informatiques</t>
  </si>
  <si>
    <t>Introduction aux bases de données</t>
  </si>
  <si>
    <t>Interactions humaines en informatique</t>
  </si>
  <si>
    <t>Programmation Web</t>
  </si>
  <si>
    <t>Introduction à la sécurité informatique</t>
  </si>
  <si>
    <t xml:space="preserve">Introduction aux platformes IdO </t>
  </si>
  <si>
    <t>Ligne 13</t>
  </si>
  <si>
    <t>Univers de l'informatique</t>
  </si>
  <si>
    <t>Soutien informatique</t>
  </si>
  <si>
    <t xml:space="preserve">Conceptions et collaboration de logiciel </t>
  </si>
  <si>
    <t>Collecte et interprétation de données pour IdO</t>
  </si>
  <si>
    <t>Ligne 13, 16</t>
  </si>
  <si>
    <t>Development d'une application web</t>
  </si>
  <si>
    <t>Ligne 18</t>
  </si>
  <si>
    <t>Expérience utilisateur</t>
  </si>
  <si>
    <t>Sécurité IdO</t>
  </si>
  <si>
    <t>Ligne 19</t>
  </si>
  <si>
    <t>Systèmes aprenants</t>
  </si>
  <si>
    <t>Intégration de la réalité augmenté à IdO</t>
  </si>
  <si>
    <t>Projet -  Development IdO</t>
  </si>
  <si>
    <t>Ligne 24</t>
  </si>
  <si>
    <t>Stage</t>
  </si>
  <si>
    <t>TOTAL heures compétences</t>
  </si>
  <si>
    <t>420.B0 - TECHNIQUES DE L'INFORMATIQUE
LOGIGRAMME</t>
  </si>
  <si>
    <t xml:space="preserve">Traiter l'information relative aux réalités du milieu de travail en informatique </t>
  </si>
  <si>
    <t xml:space="preserve">Exploiter des logiciels de bureautique </t>
  </si>
  <si>
    <t>201-184-MV</t>
  </si>
  <si>
    <t>420-110-MV</t>
  </si>
  <si>
    <t>Documentation technique et profession</t>
  </si>
  <si>
    <t>420-111-MV</t>
  </si>
  <si>
    <t>Introduction à la programmation informatique</t>
  </si>
  <si>
    <t>420-112-MV</t>
  </si>
  <si>
    <t>Création de sites Web</t>
  </si>
  <si>
    <t>420-113-MV</t>
  </si>
  <si>
    <t>350-280-MV</t>
  </si>
  <si>
    <t>420-210-MV</t>
  </si>
  <si>
    <t>Programmation orientée objet</t>
  </si>
  <si>
    <t>420-211-MV</t>
  </si>
  <si>
    <t>Applications web</t>
  </si>
  <si>
    <t>420-212-MV</t>
  </si>
  <si>
    <t>201-284-MV</t>
  </si>
  <si>
    <t>Géométrie vectorielle</t>
  </si>
  <si>
    <t>420-310-MV</t>
  </si>
  <si>
    <t xml:space="preserve">Architecture de logiciel </t>
  </si>
  <si>
    <t>420-311-MV</t>
  </si>
  <si>
    <t>Structures de données</t>
  </si>
  <si>
    <t>420-312-MV</t>
  </si>
  <si>
    <t>Conception de réseaux informatiques</t>
  </si>
  <si>
    <t>420-313-MV</t>
  </si>
  <si>
    <t>Sécurité informatique</t>
  </si>
  <si>
    <t>420-314-MV</t>
  </si>
  <si>
    <t>Programmation de plateformes embarquées</t>
  </si>
  <si>
    <t>420-410-MV</t>
  </si>
  <si>
    <t>Introduction aux plateformes IdO</t>
  </si>
  <si>
    <t>420-411-MV</t>
  </si>
  <si>
    <t>Interfaces humain-machine</t>
  </si>
  <si>
    <t>420-412-MV</t>
  </si>
  <si>
    <t>Projet - Développement d'une application Web</t>
  </si>
  <si>
    <t>420-413-MV</t>
  </si>
  <si>
    <t>Développement d'applications pour entreprises</t>
  </si>
  <si>
    <t>420-414-MV</t>
  </si>
  <si>
    <t>Infonuagique</t>
  </si>
  <si>
    <t>420-510-MV</t>
  </si>
  <si>
    <t>420-511-MV</t>
  </si>
  <si>
    <t>Développement de jeux vidéo</t>
  </si>
  <si>
    <t>420-512-MV</t>
  </si>
  <si>
    <t>Développement d'applications mobiles</t>
  </si>
  <si>
    <t>420-513-MV</t>
  </si>
  <si>
    <t>Piratage éthique</t>
  </si>
  <si>
    <t>420-514-MV</t>
  </si>
  <si>
    <t>Collecte et interprétation de données</t>
  </si>
  <si>
    <t>420-515-MV</t>
  </si>
  <si>
    <t>Maintenance de logiciel</t>
  </si>
  <si>
    <t>420-610-MV</t>
  </si>
  <si>
    <t>Stage d'intégration en entreprise</t>
  </si>
  <si>
    <t>420-611-MV</t>
  </si>
  <si>
    <t>Projet -  Développement IdO *</t>
  </si>
  <si>
    <t>*IdO = Internet des objets
*Cours porteur de l'ESP</t>
  </si>
  <si>
    <t>Session</t>
  </si>
  <si>
    <t>Code</t>
  </si>
  <si>
    <t>Cours</t>
  </si>
  <si>
    <t>Pondération</t>
  </si>
  <si>
    <t>2-2-2</t>
  </si>
  <si>
    <t>2-1-2</t>
  </si>
  <si>
    <t>2-3-3</t>
  </si>
  <si>
    <t>2-2-3</t>
  </si>
  <si>
    <t>1-2-1</t>
  </si>
  <si>
    <t>2-3-2</t>
  </si>
  <si>
    <t>1-5-3</t>
  </si>
  <si>
    <t>2-4-3</t>
  </si>
  <si>
    <t>1-17-3</t>
  </si>
  <si>
    <t>1-5-4</t>
  </si>
  <si>
    <t>IdO = Internet des objets</t>
  </si>
  <si>
    <t>* Cours porteur de l'ESP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</si>
</sst>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rgb="FFFFFF00"/>
      </left>
      <right style="medium">
        <color indexed="64"/>
      </right>
      <top style="medium">
        <color indexed="64"/>
      </top>
      <bottom/>
      <diagonal/>
    </border>
    <border>
      <left style="double">
        <color rgb="FFFFFF00"/>
      </left>
      <right style="medium">
        <color indexed="64"/>
      </right>
      <top/>
      <bottom/>
      <diagonal/>
    </border>
    <border>
      <left style="double">
        <color rgb="FFFFFF00"/>
      </left>
      <right style="medium">
        <color indexed="64"/>
      </right>
      <top/>
      <bottom style="thick">
        <color indexed="64"/>
      </bottom>
      <diagonal/>
    </border>
    <border>
      <left style="double">
        <color rgb="FFFFFF00"/>
      </left>
      <right style="medium">
        <color indexed="64"/>
      </right>
      <top style="thick">
        <color indexed="64"/>
      </top>
      <bottom/>
      <diagonal/>
    </border>
    <border>
      <left style="double">
        <color rgb="FFFFFF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FFFF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FF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4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9" xfId="0" applyFont="1" applyBorder="1" applyAlignment="1">
      <alignment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8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9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3" fillId="0" borderId="50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5" borderId="66" xfId="0" applyFont="1" applyFill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5" fillId="0" borderId="7" xfId="0" applyFont="1" applyBorder="1" applyAlignment="1">
      <alignment horizontal="center" vertical="center" textRotation="90" wrapText="1"/>
    </xf>
    <xf numFmtId="0" fontId="15" fillId="0" borderId="9" xfId="0" applyFont="1" applyBorder="1" applyAlignment="1">
      <alignment horizontal="center" vertical="center" textRotation="90" wrapText="1"/>
    </xf>
    <xf numFmtId="0" fontId="15" fillId="0" borderId="50" xfId="0" applyFont="1" applyBorder="1" applyAlignment="1">
      <alignment horizontal="center" vertical="center" textRotation="90" wrapText="1"/>
    </xf>
    <xf numFmtId="0" fontId="15" fillId="4" borderId="9" xfId="0" applyFont="1" applyFill="1" applyBorder="1" applyAlignment="1">
      <alignment horizontal="center" vertical="center" textRotation="90" wrapText="1"/>
    </xf>
    <xf numFmtId="0" fontId="15" fillId="0" borderId="81" xfId="0" applyFont="1" applyBorder="1" applyAlignment="1">
      <alignment horizontal="center" vertical="center" textRotation="90" wrapText="1"/>
    </xf>
    <xf numFmtId="0" fontId="3" fillId="0" borderId="82" xfId="0" applyFont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 indent="2"/>
    </xf>
    <xf numFmtId="0" fontId="3" fillId="0" borderId="34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3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9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8" xfId="0" applyFont="1" applyBorder="1" applyAlignment="1">
      <alignment vertical="center" wrapText="1"/>
    </xf>
    <xf numFmtId="0" fontId="3" fillId="0" borderId="25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48" xfId="0" applyFont="1" applyBorder="1" applyAlignment="1">
      <alignment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7" xfId="0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97" xfId="0" applyFont="1" applyBorder="1" applyAlignment="1">
      <alignment vertical="center" wrapText="1"/>
    </xf>
    <xf numFmtId="0" fontId="16" fillId="0" borderId="46" xfId="0" applyFont="1" applyBorder="1" applyAlignment="1">
      <alignment horizontal="center" vertical="center" wrapText="1"/>
    </xf>
    <xf numFmtId="0" fontId="10" fillId="0" borderId="98" xfId="0" applyFont="1" applyBorder="1" applyAlignment="1">
      <alignment horizontal="center" vertical="center" wrapText="1"/>
    </xf>
    <xf numFmtId="0" fontId="10" fillId="0" borderId="99" xfId="0" applyFont="1" applyBorder="1" applyAlignment="1">
      <alignment horizontal="center" vertical="center" wrapText="1"/>
    </xf>
    <xf numFmtId="0" fontId="10" fillId="0" borderId="100" xfId="0" applyFont="1" applyBorder="1" applyAlignment="1">
      <alignment horizontal="center" vertical="center" wrapText="1"/>
    </xf>
    <xf numFmtId="0" fontId="10" fillId="0" borderId="101" xfId="0" applyFont="1" applyBorder="1" applyAlignment="1">
      <alignment horizontal="center" vertical="center" wrapText="1"/>
    </xf>
    <xf numFmtId="0" fontId="10" fillId="0" borderId="102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2" fillId="0" borderId="93" xfId="0" applyFont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wrapText="1"/>
    </xf>
    <xf numFmtId="0" fontId="2" fillId="0" borderId="95" xfId="0" applyFont="1" applyBorder="1" applyAlignment="1">
      <alignment horizontal="center" vertical="center" wrapText="1"/>
    </xf>
    <xf numFmtId="0" fontId="2" fillId="0" borderId="9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0" fontId="2" fillId="0" borderId="91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2" fillId="0" borderId="9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0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37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2" fillId="0" borderId="43" xfId="0" applyFont="1" applyBorder="1" applyAlignment="1">
      <alignment vertical="center" wrapText="1"/>
    </xf>
    <xf numFmtId="0" fontId="8" fillId="0" borderId="75" xfId="0" applyFont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8" fillId="0" borderId="41" xfId="0" applyFont="1" applyBorder="1" applyAlignment="1">
      <alignment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45" xfId="0" applyFont="1" applyBorder="1" applyAlignment="1">
      <alignment vertical="center" wrapText="1"/>
    </xf>
    <xf numFmtId="0" fontId="3" fillId="0" borderId="44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0" borderId="47" xfId="0" applyFont="1" applyBorder="1" applyAlignment="1">
      <alignment vertical="center" wrapText="1"/>
    </xf>
    <xf numFmtId="0" fontId="3" fillId="0" borderId="79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49" fontId="3" fillId="0" borderId="103" xfId="0" applyNumberFormat="1" applyFont="1" applyBorder="1" applyAlignment="1">
      <alignment horizontal="center" vertical="center" wrapText="1"/>
    </xf>
    <xf numFmtId="49" fontId="3" fillId="0" borderId="104" xfId="0" applyNumberFormat="1" applyFont="1" applyBorder="1" applyAlignment="1">
      <alignment horizontal="center" vertical="center" wrapText="1"/>
    </xf>
    <xf numFmtId="49" fontId="3" fillId="0" borderId="105" xfId="0" applyNumberFormat="1" applyFont="1" applyBorder="1" applyAlignment="1">
      <alignment horizontal="center" vertical="center" wrapText="1"/>
    </xf>
    <xf numFmtId="49" fontId="16" fillId="0" borderId="106" xfId="0" applyNumberFormat="1" applyFont="1" applyBorder="1" applyAlignment="1">
      <alignment horizontal="center" vertical="center" wrapText="1"/>
    </xf>
    <xf numFmtId="49" fontId="3" fillId="0" borderId="107" xfId="0" applyNumberFormat="1" applyFont="1" applyBorder="1" applyAlignment="1">
      <alignment horizontal="center" vertical="center" wrapText="1"/>
    </xf>
    <xf numFmtId="49" fontId="3" fillId="0" borderId="108" xfId="0" applyNumberFormat="1" applyFont="1" applyBorder="1" applyAlignment="1">
      <alignment horizontal="center" vertical="center" wrapText="1"/>
    </xf>
    <xf numFmtId="49" fontId="3" fillId="0" borderId="109" xfId="0" applyNumberFormat="1" applyFont="1" applyBorder="1" applyAlignment="1">
      <alignment horizontal="center" vertical="center" wrapText="1"/>
    </xf>
    <xf numFmtId="49" fontId="3" fillId="0" borderId="110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textRotation="90" wrapText="1"/>
    </xf>
    <xf numFmtId="0" fontId="3" fillId="0" borderId="3" xfId="0" applyFont="1" applyBorder="1" applyAlignment="1">
      <alignment vertical="center" textRotation="90" wrapText="1"/>
    </xf>
    <xf numFmtId="0" fontId="3" fillId="0" borderId="2" xfId="0" applyFont="1" applyBorder="1" applyAlignment="1">
      <alignment vertical="center" textRotation="90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64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6" xfId="0" applyFont="1" applyBorder="1" applyAlignment="1">
      <alignment vertical="center" wrapText="1"/>
    </xf>
    <xf numFmtId="0" fontId="5" fillId="0" borderId="64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3" fillId="0" borderId="80" xfId="0" applyFont="1" applyBorder="1" applyAlignment="1">
      <alignment horizontal="center" vertical="center" textRotation="90"/>
    </xf>
    <xf numFmtId="0" fontId="3" fillId="0" borderId="67" xfId="0" applyFont="1" applyBorder="1" applyAlignment="1">
      <alignment horizontal="center" vertical="center" textRotation="90"/>
    </xf>
    <xf numFmtId="0" fontId="2" fillId="0" borderId="42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5A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19050</xdr:colOff>
      <xdr:row>2</xdr:row>
      <xdr:rowOff>107950</xdr:rowOff>
    </xdr:to>
    <xdr:pic>
      <xdr:nvPicPr>
        <xdr:cNvPr id="2" name="Image 5" descr="CMV09-logoCMYK">
          <a:extLst>
            <a:ext uri="{FF2B5EF4-FFF2-40B4-BE49-F238E27FC236}">
              <a16:creationId xmlns:a16="http://schemas.microsoft.com/office/drawing/2014/main" id="{32363FA9-F473-451F-8223-F93178A76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098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66675</xdr:rowOff>
    </xdr:from>
    <xdr:to>
      <xdr:col>2</xdr:col>
      <xdr:colOff>1647825</xdr:colOff>
      <xdr:row>2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CC759AF-D764-214A-A500-21F006AF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9225" y="66675"/>
          <a:ext cx="16668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107333</xdr:rowOff>
    </xdr:from>
    <xdr:ext cx="3991960" cy="46801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AB7560F-CA25-45A1-B8E8-7EFAB1859932}"/>
            </a:ext>
          </a:extLst>
        </xdr:cNvPr>
        <xdr:cNvSpPr/>
      </xdr:nvSpPr>
      <xdr:spPr>
        <a:xfrm rot="20789508">
          <a:off x="0" y="507383"/>
          <a:ext cx="3991960" cy="46801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2400" b="1" cap="none" spc="50">
              <a:ln w="0"/>
              <a:solidFill>
                <a:schemeClr val="bg1">
                  <a:lumMod val="65000"/>
                  <a:alpha val="14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DOCUMENT</a:t>
          </a:r>
          <a:r>
            <a:rPr lang="fr-FR" sz="2400" b="1" cap="none" spc="50" baseline="0">
              <a:ln w="0"/>
              <a:solidFill>
                <a:schemeClr val="bg1">
                  <a:lumMod val="65000"/>
                  <a:alpha val="14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DE TRAVAIL</a:t>
          </a:r>
        </a:p>
      </xdr:txBody>
    </xdr:sp>
    <xdr:clientData/>
  </xdr:oneCellAnchor>
  <xdr:oneCellAnchor>
    <xdr:from>
      <xdr:col>2</xdr:col>
      <xdr:colOff>933450</xdr:colOff>
      <xdr:row>11</xdr:row>
      <xdr:rowOff>35805</xdr:rowOff>
    </xdr:from>
    <xdr:ext cx="3991960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211440-7D27-4118-878D-975D76CAB161}"/>
            </a:ext>
          </a:extLst>
        </xdr:cNvPr>
        <xdr:cNvSpPr/>
      </xdr:nvSpPr>
      <xdr:spPr>
        <a:xfrm rot="20789508">
          <a:off x="2457450" y="2845680"/>
          <a:ext cx="3991960" cy="46801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2400" b="1" cap="none" spc="50">
              <a:ln w="0"/>
              <a:solidFill>
                <a:schemeClr val="bg1">
                  <a:lumMod val="65000"/>
                  <a:alpha val="14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DOCUMENT</a:t>
          </a:r>
          <a:r>
            <a:rPr lang="fr-FR" sz="2400" b="1" cap="none" spc="50" baseline="0">
              <a:ln w="0"/>
              <a:solidFill>
                <a:schemeClr val="bg1">
                  <a:lumMod val="65000"/>
                  <a:alpha val="14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DE TRAVAIL</a:t>
          </a:r>
        </a:p>
      </xdr:txBody>
    </xdr:sp>
    <xdr:clientData/>
  </xdr:oneCellAnchor>
  <xdr:oneCellAnchor>
    <xdr:from>
      <xdr:col>0</xdr:col>
      <xdr:colOff>0</xdr:colOff>
      <xdr:row>23</xdr:row>
      <xdr:rowOff>7230</xdr:rowOff>
    </xdr:from>
    <xdr:ext cx="3991960" cy="468013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A51D818-F063-4CDC-9BC4-15B97A6B0008}"/>
            </a:ext>
          </a:extLst>
        </xdr:cNvPr>
        <xdr:cNvSpPr/>
      </xdr:nvSpPr>
      <xdr:spPr>
        <a:xfrm rot="20789508">
          <a:off x="0" y="4769730"/>
          <a:ext cx="3991960" cy="468013"/>
        </a:xfrm>
        <a:prstGeom prst="rect">
          <a:avLst/>
        </a:prstGeom>
        <a:noFill/>
        <a:ln>
          <a:noFill/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2400" b="1" cap="none" spc="50">
              <a:ln w="0"/>
              <a:solidFill>
                <a:schemeClr val="bg1">
                  <a:lumMod val="65000"/>
                  <a:alpha val="14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DOCUMENT</a:t>
          </a:r>
          <a:r>
            <a:rPr lang="fr-FR" sz="2400" b="1" cap="none" spc="50" baseline="0">
              <a:ln w="0"/>
              <a:solidFill>
                <a:schemeClr val="bg1">
                  <a:lumMod val="65000"/>
                  <a:alpha val="14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DE TRAVAIL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ssandro Sartor" id="{4CDF7120-DF42-4CB0-87E8-8DBB520E56A3}" userId="Alessandro Sarto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0-02-03T04:23:25.47" personId="{4CDF7120-DF42-4CB0-87E8-8DBB520E56A3}" id="{B068C90F-5114-42F3-AE8B-260E89320563}">
    <text>- Travail en équipe
- Vulgarisation/Interactions avec clients</text>
  </threadedComment>
  <threadedComment ref="B20" dT="2020-02-03T03:51:37.80" personId="{4CDF7120-DF42-4CB0-87E8-8DBB520E56A3}" id="{5802CBB9-9427-4CBF-8C5A-3CB5134B394D}">
    <text>- Présentation des meilleurs platformes pour IdO
- Introduction à un OS pour IdO</text>
  </threadedComment>
  <threadedComment ref="B22" dT="2020-02-03T04:39:23.98" personId="{4CDF7120-DF42-4CB0-87E8-8DBB520E56A3}" id="{FEDC2835-63CF-4604-9C08-86678F24C92F}">
    <text>- Les restes de la compétence</text>
  </threadedComment>
  <threadedComment ref="B23" dT="2020-02-03T04:49:21.64" personId="{4CDF7120-DF42-4CB0-87E8-8DBB520E56A3}" id="{CD0F8354-AEA7-4F12-83BA-7F76668E2D68}">
    <text>- Méthodes de travail (Agile)
- Modèles (Architecture) de logiciel</text>
  </threadedComment>
  <threadedComment ref="B24" dT="2020-02-03T04:48:46.72" personId="{4CDF7120-DF42-4CB0-87E8-8DBB520E56A3}" id="{AD6E9EFF-8696-44C7-8EAB-D047A2FD8B55}">
    <text>- Comment utiliser un IdO pour récolter de l'information
- Comment utiliser/analyser cette information</text>
  </threadedComment>
  <threadedComment ref="B33" dT="2020-02-03T04:40:04.18" personId="{4CDF7120-DF42-4CB0-87E8-8DBB520E56A3}" id="{D6581EF1-6CBC-4686-ACD9-23D31720C40D}">
    <text>- Je ne suis pas sur de comment distribuer les heures pour le stage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B072-90CB-45C8-AB6E-361700BA4BC5}">
  <dimension ref="A1:AB39"/>
  <sheetViews>
    <sheetView topLeftCell="A10" zoomScaleNormal="100" workbookViewId="0">
      <selection activeCell="G12" sqref="G12"/>
    </sheetView>
  </sheetViews>
  <sheetFormatPr defaultColWidth="11.42578125" defaultRowHeight="14.45"/>
  <cols>
    <col min="2" max="2" width="32" customWidth="1"/>
    <col min="3" max="3" width="15" customWidth="1"/>
    <col min="4" max="4" width="9.140625" bestFit="1" customWidth="1"/>
    <col min="5" max="5" width="10" bestFit="1" customWidth="1"/>
    <col min="6" max="11" width="9" bestFit="1" customWidth="1"/>
    <col min="12" max="12" width="9.140625" bestFit="1" customWidth="1"/>
    <col min="13" max="13" width="11.7109375" bestFit="1" customWidth="1"/>
    <col min="14" max="15" width="8.85546875" bestFit="1" customWidth="1"/>
    <col min="16" max="16" width="9" bestFit="1" customWidth="1"/>
    <col min="17" max="17" width="9.140625" bestFit="1" customWidth="1"/>
    <col min="18" max="19" width="10.140625" bestFit="1" customWidth="1"/>
    <col min="20" max="21" width="9" bestFit="1" customWidth="1"/>
    <col min="22" max="22" width="8.85546875" bestFit="1" customWidth="1"/>
    <col min="23" max="23" width="9" bestFit="1" customWidth="1"/>
    <col min="24" max="24" width="9.28515625" bestFit="1" customWidth="1"/>
    <col min="25" max="25" width="9.42578125" bestFit="1" customWidth="1"/>
  </cols>
  <sheetData>
    <row r="1" spans="1:28" ht="20.100000000000001" customHeight="1">
      <c r="A1" s="169"/>
      <c r="B1" s="169"/>
      <c r="C1" s="14"/>
      <c r="D1" s="159" t="s">
        <v>0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5.6" customHeight="1">
      <c r="A2" s="169"/>
      <c r="B2" s="169"/>
      <c r="C2" s="14"/>
      <c r="D2" s="160" t="s">
        <v>1</v>
      </c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</row>
    <row r="3" spans="1:28" ht="20.25" customHeight="1" thickBot="1">
      <c r="A3" s="170"/>
      <c r="B3" s="170"/>
      <c r="C3" s="14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59"/>
      <c r="P3" s="159"/>
      <c r="Q3" s="162"/>
      <c r="R3" s="162"/>
      <c r="S3" s="162"/>
      <c r="T3" s="162"/>
      <c r="U3" s="162"/>
      <c r="V3" s="162"/>
      <c r="W3" s="162"/>
      <c r="X3" s="162"/>
      <c r="Y3" s="162"/>
      <c r="Z3" s="159"/>
      <c r="AA3" s="159"/>
      <c r="AB3" s="159"/>
    </row>
    <row r="4" spans="1:28" ht="130.5" customHeight="1">
      <c r="A4" s="163" t="s">
        <v>2</v>
      </c>
      <c r="B4" s="166"/>
      <c r="C4" s="166"/>
      <c r="D4" s="168"/>
      <c r="E4" s="156" t="s">
        <v>3</v>
      </c>
      <c r="F4" s="156" t="s">
        <v>4</v>
      </c>
      <c r="G4" s="156" t="s">
        <v>5</v>
      </c>
      <c r="H4" s="156" t="s">
        <v>6</v>
      </c>
      <c r="I4" s="156" t="s">
        <v>7</v>
      </c>
      <c r="J4" s="156" t="s">
        <v>8</v>
      </c>
      <c r="K4" s="156" t="s">
        <v>9</v>
      </c>
      <c r="L4" s="156" t="s">
        <v>10</v>
      </c>
      <c r="M4" s="156" t="s">
        <v>11</v>
      </c>
      <c r="N4" s="10" t="s">
        <v>12</v>
      </c>
      <c r="O4" s="158" t="s">
        <v>13</v>
      </c>
      <c r="P4" s="11" t="s">
        <v>14</v>
      </c>
      <c r="Q4" s="11" t="s">
        <v>15</v>
      </c>
      <c r="R4" s="12" t="s">
        <v>16</v>
      </c>
      <c r="S4" s="11" t="s">
        <v>17</v>
      </c>
      <c r="T4" s="11" t="s">
        <v>18</v>
      </c>
      <c r="U4" s="11" t="s">
        <v>19</v>
      </c>
      <c r="V4" s="11" t="s">
        <v>20</v>
      </c>
      <c r="W4" s="11" t="s">
        <v>21</v>
      </c>
      <c r="X4" s="11" t="s">
        <v>22</v>
      </c>
      <c r="Y4" s="11" t="s">
        <v>23</v>
      </c>
      <c r="Z4" s="154"/>
      <c r="AA4" s="155"/>
      <c r="AB4" s="155"/>
    </row>
    <row r="5" spans="1:28">
      <c r="A5" s="164"/>
      <c r="B5" s="167"/>
      <c r="C5" s="167"/>
      <c r="D5" s="168"/>
      <c r="E5" s="157"/>
      <c r="F5" s="157"/>
      <c r="G5" s="157"/>
      <c r="H5" s="157"/>
      <c r="I5" s="157"/>
      <c r="J5" s="157"/>
      <c r="K5" s="157"/>
      <c r="L5" s="157"/>
      <c r="M5" s="157"/>
      <c r="N5" s="10"/>
      <c r="O5" s="157"/>
      <c r="P5" s="10"/>
      <c r="Q5" s="10"/>
      <c r="R5" s="13"/>
      <c r="S5" s="10"/>
      <c r="T5" s="10"/>
      <c r="U5" s="10"/>
      <c r="V5" s="10"/>
      <c r="W5" s="10"/>
      <c r="X5" s="10"/>
      <c r="Y5" s="10"/>
      <c r="Z5" s="154"/>
      <c r="AA5" s="155"/>
      <c r="AB5" s="155"/>
    </row>
    <row r="6" spans="1:28" ht="15.75" customHeight="1" thickBot="1">
      <c r="A6" s="165"/>
      <c r="B6" s="41"/>
      <c r="C6" s="41"/>
      <c r="D6" s="42"/>
      <c r="E6" s="43" t="s">
        <v>24</v>
      </c>
      <c r="F6" s="44" t="s">
        <v>25</v>
      </c>
      <c r="G6" s="44" t="s">
        <v>26</v>
      </c>
      <c r="H6" s="44" t="s">
        <v>27</v>
      </c>
      <c r="I6" s="44" t="s">
        <v>28</v>
      </c>
      <c r="J6" s="44" t="s">
        <v>29</v>
      </c>
      <c r="K6" s="44" t="s">
        <v>30</v>
      </c>
      <c r="L6" s="44" t="s">
        <v>31</v>
      </c>
      <c r="M6" s="44" t="s">
        <v>32</v>
      </c>
      <c r="N6" s="45" t="s">
        <v>33</v>
      </c>
      <c r="O6" s="46" t="s">
        <v>34</v>
      </c>
      <c r="P6" s="45" t="s">
        <v>35</v>
      </c>
      <c r="Q6" s="45" t="s">
        <v>36</v>
      </c>
      <c r="R6" s="47" t="s">
        <v>37</v>
      </c>
      <c r="S6" s="45" t="s">
        <v>38</v>
      </c>
      <c r="T6" s="45" t="s">
        <v>39</v>
      </c>
      <c r="U6" s="45" t="s">
        <v>40</v>
      </c>
      <c r="V6" s="45" t="s">
        <v>41</v>
      </c>
      <c r="W6" s="45" t="s">
        <v>42</v>
      </c>
      <c r="X6" s="45" t="s">
        <v>43</v>
      </c>
      <c r="Y6" s="45" t="s">
        <v>44</v>
      </c>
      <c r="Z6" s="154"/>
      <c r="AA6" s="155"/>
      <c r="AB6" s="155"/>
    </row>
    <row r="7" spans="1:28" ht="15.75" customHeight="1" thickTop="1" thickBot="1">
      <c r="A7" s="48"/>
      <c r="B7" s="2" t="s">
        <v>45</v>
      </c>
      <c r="C7" s="2" t="s">
        <v>46</v>
      </c>
      <c r="D7" s="1" t="s">
        <v>47</v>
      </c>
      <c r="E7" s="49"/>
      <c r="F7" s="49"/>
      <c r="G7" s="49"/>
      <c r="H7" s="49"/>
      <c r="I7" s="49"/>
      <c r="J7" s="49"/>
      <c r="K7" s="49"/>
      <c r="L7" s="49"/>
      <c r="M7" s="49"/>
      <c r="N7" s="50"/>
      <c r="O7" s="51"/>
      <c r="P7" s="50"/>
      <c r="Q7" s="50"/>
      <c r="R7" s="52"/>
      <c r="S7" s="50"/>
      <c r="T7" s="50"/>
      <c r="U7" s="50"/>
      <c r="V7" s="50"/>
      <c r="W7" s="50"/>
      <c r="X7" s="50"/>
      <c r="Y7" s="50"/>
      <c r="Z7" s="154"/>
      <c r="AA7" s="155"/>
      <c r="AB7" s="155"/>
    </row>
    <row r="8" spans="1:28" ht="15.75" customHeight="1">
      <c r="A8" s="4">
        <v>1</v>
      </c>
      <c r="B8" s="15" t="s">
        <v>48</v>
      </c>
      <c r="C8" s="6"/>
      <c r="D8" s="53">
        <f t="shared" ref="D8:D38" si="0">SUM(E8:Y8)</f>
        <v>45</v>
      </c>
      <c r="E8" s="4">
        <v>45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4"/>
      <c r="R8" s="55"/>
      <c r="S8" s="4"/>
      <c r="T8" s="4"/>
      <c r="U8" s="4"/>
      <c r="V8" s="4"/>
      <c r="W8" s="4"/>
      <c r="X8" s="4"/>
      <c r="Y8" s="4"/>
      <c r="Z8" s="155"/>
      <c r="AA8" s="155"/>
      <c r="AB8" s="155"/>
    </row>
    <row r="9" spans="1:28" ht="15.75" customHeight="1">
      <c r="A9" s="56">
        <v>1</v>
      </c>
      <c r="B9" s="16" t="s">
        <v>49</v>
      </c>
      <c r="C9" s="7"/>
      <c r="D9" s="57">
        <f t="shared" si="0"/>
        <v>60</v>
      </c>
      <c r="E9" s="56"/>
      <c r="F9" s="56"/>
      <c r="G9" s="56">
        <v>60</v>
      </c>
      <c r="H9" s="56"/>
      <c r="I9" s="56"/>
      <c r="J9" s="56"/>
      <c r="K9" s="56"/>
      <c r="L9" s="56"/>
      <c r="M9" s="56"/>
      <c r="N9" s="56"/>
      <c r="O9" s="56"/>
      <c r="P9" s="56"/>
      <c r="Q9" s="58"/>
      <c r="R9" s="59"/>
      <c r="S9" s="56"/>
      <c r="T9" s="56"/>
      <c r="U9" s="56"/>
      <c r="V9" s="56"/>
      <c r="W9" s="56"/>
      <c r="X9" s="56"/>
      <c r="Y9" s="56"/>
      <c r="Z9" s="155"/>
      <c r="AA9" s="155"/>
      <c r="AB9" s="155"/>
    </row>
    <row r="10" spans="1:28" ht="15.75" customHeight="1">
      <c r="A10" s="56">
        <v>1</v>
      </c>
      <c r="B10" s="16" t="s">
        <v>50</v>
      </c>
      <c r="C10" s="7"/>
      <c r="D10" s="57">
        <f t="shared" si="0"/>
        <v>45</v>
      </c>
      <c r="E10" s="56"/>
      <c r="F10" s="56"/>
      <c r="G10" s="56"/>
      <c r="H10" s="56">
        <v>45</v>
      </c>
      <c r="I10" s="56"/>
      <c r="J10" s="56"/>
      <c r="K10" s="56"/>
      <c r="L10" s="56"/>
      <c r="M10" s="56"/>
      <c r="N10" s="56"/>
      <c r="O10" s="56"/>
      <c r="P10" s="56"/>
      <c r="Q10" s="58"/>
      <c r="R10" s="59"/>
      <c r="S10" s="56"/>
      <c r="T10" s="56"/>
      <c r="U10" s="56"/>
      <c r="V10" s="56"/>
      <c r="W10" s="56"/>
      <c r="X10" s="56"/>
      <c r="Y10" s="56"/>
      <c r="Z10" s="155"/>
      <c r="AA10" s="155"/>
      <c r="AB10" s="155"/>
    </row>
    <row r="11" spans="1:28" ht="15.75" customHeight="1">
      <c r="A11" s="56">
        <v>1</v>
      </c>
      <c r="B11" s="16" t="s">
        <v>51</v>
      </c>
      <c r="C11" s="7"/>
      <c r="D11" s="57">
        <f t="shared" si="0"/>
        <v>45</v>
      </c>
      <c r="E11" s="56"/>
      <c r="F11" s="56">
        <v>45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8"/>
      <c r="R11" s="59"/>
      <c r="S11" s="56"/>
      <c r="T11" s="56"/>
      <c r="U11" s="56"/>
      <c r="V11" s="56"/>
      <c r="W11" s="56"/>
      <c r="X11" s="56"/>
      <c r="Y11" s="56"/>
      <c r="Z11" s="155"/>
      <c r="AA11" s="155"/>
      <c r="AB11" s="155"/>
    </row>
    <row r="12" spans="1:28" ht="15.75" customHeight="1" thickBot="1">
      <c r="A12" s="60">
        <v>1</v>
      </c>
      <c r="B12" s="8"/>
      <c r="C12" s="18"/>
      <c r="D12" s="61">
        <f t="shared" si="0"/>
        <v>0</v>
      </c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2"/>
      <c r="R12" s="63"/>
      <c r="S12" s="60"/>
      <c r="T12" s="60"/>
      <c r="U12" s="60"/>
      <c r="V12" s="60"/>
      <c r="W12" s="60"/>
      <c r="X12" s="60"/>
      <c r="Y12" s="60"/>
      <c r="Z12" s="155"/>
      <c r="AA12" s="155"/>
      <c r="AB12" s="155"/>
    </row>
    <row r="13" spans="1:28" ht="15.75" customHeight="1">
      <c r="A13" s="4">
        <v>2</v>
      </c>
      <c r="B13" s="15" t="s">
        <v>52</v>
      </c>
      <c r="C13" s="6" t="s">
        <v>53</v>
      </c>
      <c r="D13" s="53">
        <f t="shared" si="0"/>
        <v>60</v>
      </c>
      <c r="E13" s="4"/>
      <c r="F13" s="4"/>
      <c r="G13" s="4"/>
      <c r="H13" s="4"/>
      <c r="I13" s="4"/>
      <c r="J13" s="4"/>
      <c r="K13" s="4">
        <v>60</v>
      </c>
      <c r="L13" s="4"/>
      <c r="M13" s="4"/>
      <c r="N13" s="4"/>
      <c r="O13" s="4"/>
      <c r="P13" s="4"/>
      <c r="Q13" s="54"/>
      <c r="R13" s="55"/>
      <c r="S13" s="4"/>
      <c r="T13" s="4"/>
      <c r="U13" s="4"/>
      <c r="V13" s="4"/>
      <c r="W13" s="4"/>
      <c r="X13" s="4"/>
      <c r="Y13" s="4"/>
      <c r="Z13" s="155"/>
      <c r="AA13" s="155"/>
      <c r="AB13" s="155"/>
    </row>
    <row r="14" spans="1:28" ht="15.75" customHeight="1">
      <c r="A14" s="56">
        <v>2</v>
      </c>
      <c r="B14" s="16" t="s">
        <v>54</v>
      </c>
      <c r="C14" s="7"/>
      <c r="D14" s="57">
        <f t="shared" si="0"/>
        <v>45</v>
      </c>
      <c r="E14" s="56"/>
      <c r="F14" s="56"/>
      <c r="G14" s="56"/>
      <c r="H14" s="56"/>
      <c r="I14" s="56">
        <v>45</v>
      </c>
      <c r="J14" s="56"/>
      <c r="K14" s="56"/>
      <c r="L14" s="56"/>
      <c r="M14" s="56"/>
      <c r="N14" s="56"/>
      <c r="O14" s="56"/>
      <c r="P14" s="56"/>
      <c r="Q14" s="58"/>
      <c r="R14" s="59"/>
      <c r="S14" s="56"/>
      <c r="T14" s="56"/>
      <c r="U14" s="56"/>
      <c r="V14" s="56"/>
      <c r="W14" s="56"/>
      <c r="X14" s="56"/>
      <c r="Y14" s="56"/>
      <c r="Z14" s="155"/>
      <c r="AA14" s="155"/>
      <c r="AB14" s="155"/>
    </row>
    <row r="15" spans="1:28" ht="15.75" customHeight="1">
      <c r="A15" s="56">
        <v>2</v>
      </c>
      <c r="B15" s="16" t="s">
        <v>55</v>
      </c>
      <c r="C15" s="7"/>
      <c r="D15" s="57">
        <f t="shared" si="0"/>
        <v>45</v>
      </c>
      <c r="E15" s="56"/>
      <c r="F15" s="56"/>
      <c r="G15" s="56"/>
      <c r="H15" s="56"/>
      <c r="I15" s="56"/>
      <c r="J15" s="56">
        <v>45</v>
      </c>
      <c r="K15" s="56"/>
      <c r="L15" s="56"/>
      <c r="M15" s="56"/>
      <c r="N15" s="56"/>
      <c r="O15" s="56"/>
      <c r="P15" s="56"/>
      <c r="Q15" s="58"/>
      <c r="R15" s="59"/>
      <c r="S15" s="56"/>
      <c r="T15" s="56"/>
      <c r="U15" s="56"/>
      <c r="V15" s="56"/>
      <c r="W15" s="56"/>
      <c r="X15" s="56"/>
      <c r="Y15" s="56"/>
      <c r="Z15" s="155"/>
      <c r="AA15" s="155"/>
      <c r="AB15" s="155"/>
    </row>
    <row r="16" spans="1:28" ht="15.75" customHeight="1">
      <c r="A16" s="56">
        <v>2</v>
      </c>
      <c r="B16" s="16" t="s">
        <v>56</v>
      </c>
      <c r="C16" s="7"/>
      <c r="D16" s="57">
        <f t="shared" si="0"/>
        <v>45</v>
      </c>
      <c r="E16" s="56"/>
      <c r="F16" s="56"/>
      <c r="G16" s="56"/>
      <c r="H16" s="56"/>
      <c r="I16" s="56"/>
      <c r="J16" s="56"/>
      <c r="K16" s="56"/>
      <c r="L16" s="56">
        <v>45</v>
      </c>
      <c r="M16" s="56"/>
      <c r="N16" s="56"/>
      <c r="O16" s="56"/>
      <c r="P16" s="56"/>
      <c r="Q16" s="58"/>
      <c r="R16" s="59"/>
      <c r="S16" s="56"/>
      <c r="T16" s="56"/>
      <c r="U16" s="56"/>
      <c r="V16" s="56"/>
      <c r="W16" s="56"/>
      <c r="X16" s="56"/>
      <c r="Y16" s="56"/>
      <c r="Z16" s="155"/>
      <c r="AA16" s="155"/>
      <c r="AB16" s="155"/>
    </row>
    <row r="17" spans="1:28" ht="15.75" customHeight="1" thickBot="1">
      <c r="A17" s="60">
        <v>2</v>
      </c>
      <c r="B17" s="17" t="s">
        <v>57</v>
      </c>
      <c r="C17" s="18"/>
      <c r="D17" s="61">
        <f t="shared" si="0"/>
        <v>45</v>
      </c>
      <c r="E17" s="60"/>
      <c r="F17" s="60"/>
      <c r="G17" s="60"/>
      <c r="H17" s="60"/>
      <c r="I17" s="60"/>
      <c r="J17" s="60"/>
      <c r="K17" s="60"/>
      <c r="L17" s="60"/>
      <c r="M17" s="60"/>
      <c r="N17" s="60">
        <v>30</v>
      </c>
      <c r="O17" s="60"/>
      <c r="P17" s="60">
        <v>15</v>
      </c>
      <c r="Q17" s="62"/>
      <c r="R17" s="63"/>
      <c r="S17" s="60"/>
      <c r="T17" s="60"/>
      <c r="U17" s="60"/>
      <c r="V17" s="60"/>
      <c r="W17" s="60"/>
      <c r="X17" s="60"/>
      <c r="Y17" s="60"/>
      <c r="Z17" s="155"/>
      <c r="AA17" s="155"/>
      <c r="AB17" s="155"/>
    </row>
    <row r="18" spans="1:28" ht="15.75" customHeight="1">
      <c r="A18" s="4">
        <v>3</v>
      </c>
      <c r="B18" s="3" t="s">
        <v>58</v>
      </c>
      <c r="C18" s="6" t="s">
        <v>53</v>
      </c>
      <c r="D18" s="53">
        <f t="shared" si="0"/>
        <v>45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4"/>
      <c r="R18" s="55"/>
      <c r="S18" s="4"/>
      <c r="T18" s="4">
        <v>45</v>
      </c>
      <c r="U18" s="4"/>
      <c r="V18" s="4"/>
      <c r="W18" s="4"/>
      <c r="X18" s="4"/>
      <c r="Y18" s="4"/>
      <c r="Z18" s="155"/>
      <c r="AA18" s="155"/>
      <c r="AB18" s="155"/>
    </row>
    <row r="19" spans="1:28" ht="15.75" customHeight="1">
      <c r="A19" s="56">
        <v>3</v>
      </c>
      <c r="B19" s="16" t="s">
        <v>59</v>
      </c>
      <c r="C19" s="64"/>
      <c r="D19" s="57">
        <f>SUM(E19:Y19)</f>
        <v>45</v>
      </c>
      <c r="E19" s="56"/>
      <c r="F19" s="56"/>
      <c r="G19" s="56"/>
      <c r="H19" s="56"/>
      <c r="I19" s="56"/>
      <c r="J19" s="56"/>
      <c r="K19" s="56"/>
      <c r="L19" s="56"/>
      <c r="M19" s="56">
        <v>45</v>
      </c>
      <c r="N19" s="56"/>
      <c r="O19" s="56"/>
      <c r="P19" s="56"/>
      <c r="Q19" s="58"/>
      <c r="R19" s="59"/>
      <c r="S19" s="56"/>
      <c r="T19" s="56"/>
      <c r="U19" s="56"/>
      <c r="V19" s="56"/>
      <c r="W19" s="56"/>
      <c r="X19" s="56"/>
      <c r="Y19" s="56"/>
      <c r="Z19" s="155"/>
      <c r="AA19" s="155"/>
      <c r="AB19" s="155"/>
    </row>
    <row r="20" spans="1:28" ht="15.75" customHeight="1">
      <c r="A20" s="56">
        <v>3</v>
      </c>
      <c r="B20" s="5" t="s">
        <v>60</v>
      </c>
      <c r="C20" s="7" t="s">
        <v>61</v>
      </c>
      <c r="D20" s="57">
        <f t="shared" si="0"/>
        <v>60</v>
      </c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8"/>
      <c r="R20" s="59">
        <v>45</v>
      </c>
      <c r="S20" s="56"/>
      <c r="T20" s="56"/>
      <c r="U20" s="56"/>
      <c r="V20" s="56"/>
      <c r="W20" s="56"/>
      <c r="X20" s="56">
        <v>15</v>
      </c>
      <c r="Y20" s="56"/>
      <c r="Z20" s="155"/>
      <c r="AA20" s="155"/>
      <c r="AB20" s="155"/>
    </row>
    <row r="21" spans="1:28" ht="15.75" customHeight="1">
      <c r="A21" s="56">
        <v>3</v>
      </c>
      <c r="B21" s="16" t="s">
        <v>62</v>
      </c>
      <c r="C21" s="7"/>
      <c r="D21" s="57">
        <f t="shared" si="0"/>
        <v>45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>
        <v>30</v>
      </c>
      <c r="P21" s="56"/>
      <c r="Q21" s="58">
        <v>15</v>
      </c>
      <c r="R21" s="59"/>
      <c r="S21" s="56"/>
      <c r="T21" s="56"/>
      <c r="U21" s="56"/>
      <c r="V21" s="56"/>
      <c r="W21" s="56"/>
      <c r="X21" s="56"/>
      <c r="Y21" s="56"/>
      <c r="Z21" s="155"/>
      <c r="AA21" s="155"/>
      <c r="AB21" s="155"/>
    </row>
    <row r="22" spans="1:28" ht="15.75" customHeight="1" thickBot="1">
      <c r="A22" s="60">
        <v>3</v>
      </c>
      <c r="B22" s="17" t="s">
        <v>63</v>
      </c>
      <c r="C22" s="18"/>
      <c r="D22" s="61">
        <f t="shared" si="0"/>
        <v>30</v>
      </c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>
        <v>30</v>
      </c>
      <c r="Q22" s="62"/>
      <c r="R22" s="63"/>
      <c r="S22" s="60"/>
      <c r="T22" s="60"/>
      <c r="U22" s="60"/>
      <c r="V22" s="60"/>
      <c r="W22" s="60"/>
      <c r="X22" s="60"/>
      <c r="Y22" s="60"/>
      <c r="Z22" s="155"/>
      <c r="AA22" s="155"/>
      <c r="AB22" s="155"/>
    </row>
    <row r="23" spans="1:28" ht="15.6">
      <c r="A23" s="4">
        <v>4</v>
      </c>
      <c r="B23" s="14" t="s">
        <v>64</v>
      </c>
      <c r="C23" s="6" t="s">
        <v>61</v>
      </c>
      <c r="D23" s="53">
        <f t="shared" si="0"/>
        <v>45</v>
      </c>
      <c r="E23" s="4"/>
      <c r="F23" s="4"/>
      <c r="G23" s="4"/>
      <c r="H23" s="4"/>
      <c r="I23" s="4"/>
      <c r="J23" s="4"/>
      <c r="K23" s="4"/>
      <c r="L23" s="4"/>
      <c r="M23" s="4"/>
      <c r="N23" s="4">
        <v>15</v>
      </c>
      <c r="O23" s="4"/>
      <c r="P23" s="4"/>
      <c r="Q23" s="54"/>
      <c r="R23" s="55"/>
      <c r="S23" s="4"/>
      <c r="T23" s="4"/>
      <c r="U23" s="4"/>
      <c r="V23" s="4"/>
      <c r="W23" s="4"/>
      <c r="X23" s="4"/>
      <c r="Y23" s="4">
        <v>30</v>
      </c>
      <c r="Z23" s="155"/>
      <c r="AA23" s="155"/>
      <c r="AB23" s="155"/>
    </row>
    <row r="24" spans="1:28" ht="22.5" customHeight="1">
      <c r="A24" s="56">
        <v>4</v>
      </c>
      <c r="B24" s="5" t="s">
        <v>65</v>
      </c>
      <c r="C24" s="7" t="s">
        <v>66</v>
      </c>
      <c r="D24" s="57">
        <f t="shared" si="0"/>
        <v>60</v>
      </c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8"/>
      <c r="R24" s="59"/>
      <c r="S24" s="56">
        <v>15</v>
      </c>
      <c r="T24" s="56"/>
      <c r="U24" s="56"/>
      <c r="V24" s="56">
        <v>30</v>
      </c>
      <c r="W24" s="56"/>
      <c r="X24" s="56">
        <v>15</v>
      </c>
      <c r="Y24" s="56"/>
      <c r="Z24" s="155"/>
      <c r="AA24" s="155"/>
      <c r="AB24" s="155"/>
    </row>
    <row r="25" spans="1:28" ht="15.75" customHeight="1">
      <c r="A25" s="56">
        <v>4</v>
      </c>
      <c r="B25" s="5"/>
      <c r="C25" s="7"/>
      <c r="D25" s="57">
        <f t="shared" si="0"/>
        <v>0</v>
      </c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8"/>
      <c r="R25" s="59"/>
      <c r="S25" s="56"/>
      <c r="T25" s="56"/>
      <c r="U25" s="56"/>
      <c r="V25" s="56"/>
      <c r="W25" s="56"/>
      <c r="X25" s="56"/>
      <c r="Y25" s="56"/>
      <c r="Z25" s="155"/>
      <c r="AA25" s="155"/>
      <c r="AB25" s="155"/>
    </row>
    <row r="26" spans="1:28" ht="15.75" customHeight="1">
      <c r="A26" s="56">
        <v>4</v>
      </c>
      <c r="B26" s="5"/>
      <c r="C26" s="7"/>
      <c r="D26" s="57">
        <f t="shared" si="0"/>
        <v>0</v>
      </c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8"/>
      <c r="R26" s="59"/>
      <c r="S26" s="56"/>
      <c r="T26" s="56"/>
      <c r="U26" s="56"/>
      <c r="V26" s="56"/>
      <c r="W26" s="56"/>
      <c r="X26" s="56"/>
      <c r="Y26" s="56"/>
      <c r="Z26" s="155"/>
      <c r="AA26" s="155"/>
      <c r="AB26" s="155"/>
    </row>
    <row r="27" spans="1:28" ht="15.75" customHeight="1" thickBot="1">
      <c r="A27" s="60">
        <v>4</v>
      </c>
      <c r="B27" s="8" t="s">
        <v>67</v>
      </c>
      <c r="C27" s="18" t="s">
        <v>68</v>
      </c>
      <c r="D27" s="61">
        <f t="shared" si="0"/>
        <v>45</v>
      </c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2"/>
      <c r="R27" s="63"/>
      <c r="S27" s="60"/>
      <c r="T27" s="60"/>
      <c r="U27" s="60">
        <v>45</v>
      </c>
      <c r="V27" s="60"/>
      <c r="W27" s="60"/>
      <c r="X27" s="60"/>
      <c r="Y27" s="60"/>
      <c r="Z27" s="155"/>
      <c r="AA27" s="155"/>
      <c r="AB27" s="155"/>
    </row>
    <row r="28" spans="1:28" ht="15.75" customHeight="1">
      <c r="A28" s="4">
        <v>5</v>
      </c>
      <c r="B28" s="3" t="s">
        <v>69</v>
      </c>
      <c r="C28" s="6"/>
      <c r="D28" s="53">
        <f t="shared" ref="D28:D37" si="1">SUM(E28:Y28)</f>
        <v>45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54"/>
      <c r="R28" s="55">
        <v>15</v>
      </c>
      <c r="S28" s="4"/>
      <c r="T28" s="4"/>
      <c r="U28" s="4"/>
      <c r="V28" s="4"/>
      <c r="W28" s="4">
        <v>30</v>
      </c>
      <c r="X28" s="4"/>
      <c r="Y28" s="4"/>
      <c r="Z28" s="155"/>
      <c r="AA28" s="155"/>
      <c r="AB28" s="155"/>
    </row>
    <row r="29" spans="1:28" ht="15.6">
      <c r="A29" s="56">
        <v>5</v>
      </c>
      <c r="B29" s="9" t="s">
        <v>70</v>
      </c>
      <c r="C29" s="7" t="s">
        <v>71</v>
      </c>
      <c r="D29" s="57">
        <f t="shared" si="1"/>
        <v>45</v>
      </c>
      <c r="E29" s="56"/>
      <c r="F29" s="56"/>
      <c r="G29" s="56"/>
      <c r="H29" s="56"/>
      <c r="I29" s="56"/>
      <c r="J29" s="56"/>
      <c r="K29" s="56"/>
      <c r="L29" s="56"/>
      <c r="M29" s="56">
        <v>15</v>
      </c>
      <c r="N29" s="56"/>
      <c r="O29" s="56"/>
      <c r="P29" s="56"/>
      <c r="Q29" s="58"/>
      <c r="R29" s="59"/>
      <c r="S29" s="56">
        <v>15</v>
      </c>
      <c r="T29" s="56"/>
      <c r="U29" s="56"/>
      <c r="V29" s="56"/>
      <c r="W29" s="56"/>
      <c r="X29" s="56">
        <v>15</v>
      </c>
      <c r="Y29" s="56"/>
      <c r="Z29" s="155"/>
      <c r="AA29" s="155"/>
      <c r="AB29" s="155"/>
    </row>
    <row r="30" spans="1:28" ht="15.75" customHeight="1">
      <c r="A30" s="56">
        <v>5</v>
      </c>
      <c r="B30" s="5" t="s">
        <v>72</v>
      </c>
      <c r="C30" s="7"/>
      <c r="D30" s="57">
        <f t="shared" si="1"/>
        <v>45</v>
      </c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8">
        <v>15</v>
      </c>
      <c r="R30" s="59"/>
      <c r="S30" s="56"/>
      <c r="T30" s="56"/>
      <c r="U30" s="56"/>
      <c r="V30" s="56">
        <v>15</v>
      </c>
      <c r="W30" s="56"/>
      <c r="X30" s="56">
        <v>15</v>
      </c>
      <c r="Y30" s="56"/>
      <c r="Z30" s="155"/>
      <c r="AA30" s="155"/>
      <c r="AB30" s="155"/>
    </row>
    <row r="31" spans="1:28" ht="15.6">
      <c r="A31" s="56">
        <v>5</v>
      </c>
      <c r="B31" s="5" t="s">
        <v>73</v>
      </c>
      <c r="C31" s="7"/>
      <c r="D31" s="57">
        <f t="shared" si="1"/>
        <v>45</v>
      </c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8">
        <v>15</v>
      </c>
      <c r="R31" s="59"/>
      <c r="S31" s="56"/>
      <c r="T31" s="56"/>
      <c r="U31" s="56"/>
      <c r="V31" s="56"/>
      <c r="W31" s="56">
        <v>15</v>
      </c>
      <c r="X31" s="56">
        <v>15</v>
      </c>
      <c r="Y31" s="56"/>
      <c r="Z31" s="155"/>
      <c r="AA31" s="155"/>
      <c r="AB31" s="155"/>
    </row>
    <row r="32" spans="1:28" ht="15.75" customHeight="1" thickBot="1">
      <c r="A32" s="60">
        <v>5</v>
      </c>
      <c r="B32" s="8" t="s">
        <v>74</v>
      </c>
      <c r="C32" s="18" t="s">
        <v>75</v>
      </c>
      <c r="D32" s="61">
        <f t="shared" si="1"/>
        <v>75</v>
      </c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2"/>
      <c r="R32" s="63"/>
      <c r="S32" s="60">
        <v>30</v>
      </c>
      <c r="T32" s="60"/>
      <c r="U32" s="60"/>
      <c r="V32" s="60"/>
      <c r="W32" s="60">
        <v>15</v>
      </c>
      <c r="X32" s="60">
        <v>30</v>
      </c>
      <c r="Y32" s="60"/>
      <c r="Z32" s="155"/>
      <c r="AA32" s="155"/>
      <c r="AB32" s="155"/>
    </row>
    <row r="33" spans="1:28" ht="15.75" customHeight="1">
      <c r="A33" s="4">
        <v>6</v>
      </c>
      <c r="B33" s="3" t="s">
        <v>76</v>
      </c>
      <c r="C33" s="6"/>
      <c r="D33" s="53">
        <f t="shared" si="1"/>
        <v>120</v>
      </c>
      <c r="E33" s="4"/>
      <c r="F33" s="4"/>
      <c r="G33" s="4"/>
      <c r="H33" s="4"/>
      <c r="I33" s="4"/>
      <c r="J33" s="4"/>
      <c r="K33" s="4"/>
      <c r="L33" s="4"/>
      <c r="M33" s="4"/>
      <c r="N33" s="4">
        <v>30</v>
      </c>
      <c r="O33" s="4">
        <v>30</v>
      </c>
      <c r="P33" s="4"/>
      <c r="Q33" s="54">
        <v>30</v>
      </c>
      <c r="R33" s="55"/>
      <c r="S33" s="4"/>
      <c r="T33" s="4"/>
      <c r="U33" s="4"/>
      <c r="V33" s="4"/>
      <c r="W33" s="4"/>
      <c r="X33" s="4"/>
      <c r="Y33" s="4">
        <v>30</v>
      </c>
      <c r="Z33" s="155"/>
      <c r="AA33" s="155"/>
      <c r="AB33" s="155"/>
    </row>
    <row r="34" spans="1:28" ht="15.75" customHeight="1">
      <c r="A34" s="56">
        <v>6</v>
      </c>
      <c r="B34" s="5"/>
      <c r="C34" s="7"/>
      <c r="D34" s="57">
        <f t="shared" si="1"/>
        <v>0</v>
      </c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8"/>
      <c r="R34" s="59"/>
      <c r="S34" s="56"/>
      <c r="T34" s="56"/>
      <c r="U34" s="56"/>
      <c r="V34" s="56"/>
      <c r="W34" s="56"/>
      <c r="X34" s="56"/>
      <c r="Y34" s="56"/>
      <c r="Z34" s="155"/>
      <c r="AA34" s="155"/>
      <c r="AB34" s="155"/>
    </row>
    <row r="35" spans="1:28" ht="15.75" customHeight="1">
      <c r="A35" s="56">
        <v>6</v>
      </c>
      <c r="B35" s="5"/>
      <c r="C35" s="7"/>
      <c r="D35" s="57">
        <f t="shared" si="1"/>
        <v>0</v>
      </c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8"/>
      <c r="R35" s="59"/>
      <c r="S35" s="56"/>
      <c r="T35" s="56"/>
      <c r="U35" s="56"/>
      <c r="V35" s="56"/>
      <c r="W35" s="56"/>
      <c r="X35" s="56"/>
      <c r="Y35" s="56"/>
      <c r="Z35" s="155"/>
      <c r="AA35" s="155"/>
      <c r="AB35" s="155"/>
    </row>
    <row r="36" spans="1:28" ht="15.75" customHeight="1">
      <c r="A36" s="56">
        <v>6</v>
      </c>
      <c r="B36" s="5"/>
      <c r="C36" s="7"/>
      <c r="D36" s="57">
        <f t="shared" si="1"/>
        <v>0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8"/>
      <c r="R36" s="59"/>
      <c r="S36" s="56"/>
      <c r="T36" s="56"/>
      <c r="U36" s="56"/>
      <c r="V36" s="56"/>
      <c r="W36" s="56"/>
      <c r="X36" s="56"/>
      <c r="Y36" s="56"/>
      <c r="Z36" s="155"/>
      <c r="AA36" s="155"/>
      <c r="AB36" s="155"/>
    </row>
    <row r="37" spans="1:28" ht="15.75" customHeight="1" thickBot="1">
      <c r="A37" s="60">
        <v>6</v>
      </c>
      <c r="B37" s="8"/>
      <c r="C37" s="18"/>
      <c r="D37" s="61">
        <f t="shared" si="1"/>
        <v>0</v>
      </c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2"/>
      <c r="R37" s="63"/>
      <c r="S37" s="60"/>
      <c r="T37" s="60"/>
      <c r="U37" s="60"/>
      <c r="V37" s="60"/>
      <c r="W37" s="60"/>
      <c r="X37" s="60"/>
      <c r="Y37" s="60"/>
      <c r="Z37" s="155"/>
      <c r="AA37" s="155"/>
      <c r="AB37" s="155"/>
    </row>
    <row r="38" spans="1:28" ht="15.75" customHeight="1" thickBot="1">
      <c r="A38" s="152" t="s">
        <v>77</v>
      </c>
      <c r="B38" s="153"/>
      <c r="C38" s="65"/>
      <c r="D38" s="66">
        <f t="shared" si="0"/>
        <v>1185</v>
      </c>
      <c r="E38" s="67">
        <f t="shared" ref="E38:Y38" si="2">SUM(E8:E37)</f>
        <v>45</v>
      </c>
      <c r="F38" s="51">
        <f t="shared" si="2"/>
        <v>45</v>
      </c>
      <c r="G38" s="51">
        <f t="shared" si="2"/>
        <v>60</v>
      </c>
      <c r="H38" s="51">
        <f t="shared" si="2"/>
        <v>45</v>
      </c>
      <c r="I38" s="51">
        <f t="shared" si="2"/>
        <v>45</v>
      </c>
      <c r="J38" s="51">
        <f t="shared" si="2"/>
        <v>45</v>
      </c>
      <c r="K38" s="51">
        <f t="shared" si="2"/>
        <v>60</v>
      </c>
      <c r="L38" s="51">
        <f t="shared" si="2"/>
        <v>45</v>
      </c>
      <c r="M38" s="51">
        <f t="shared" si="2"/>
        <v>60</v>
      </c>
      <c r="N38" s="51">
        <f t="shared" si="2"/>
        <v>75</v>
      </c>
      <c r="O38" s="51">
        <f t="shared" si="2"/>
        <v>60</v>
      </c>
      <c r="P38" s="51">
        <f t="shared" si="2"/>
        <v>45</v>
      </c>
      <c r="Q38" s="51">
        <f t="shared" si="2"/>
        <v>75</v>
      </c>
      <c r="R38" s="51">
        <f t="shared" si="2"/>
        <v>60</v>
      </c>
      <c r="S38" s="51">
        <f t="shared" si="2"/>
        <v>60</v>
      </c>
      <c r="T38" s="51">
        <f t="shared" si="2"/>
        <v>45</v>
      </c>
      <c r="U38" s="51">
        <f t="shared" si="2"/>
        <v>45</v>
      </c>
      <c r="V38" s="51">
        <f t="shared" si="2"/>
        <v>45</v>
      </c>
      <c r="W38" s="51">
        <f t="shared" si="2"/>
        <v>60</v>
      </c>
      <c r="X38" s="51">
        <f t="shared" si="2"/>
        <v>105</v>
      </c>
      <c r="Y38" s="51">
        <f t="shared" si="2"/>
        <v>60</v>
      </c>
      <c r="Z38" s="154"/>
      <c r="AA38" s="155"/>
      <c r="AB38" s="155"/>
    </row>
    <row r="39" spans="1:28" ht="15" thickTop="1"/>
  </sheetData>
  <mergeCells count="66">
    <mergeCell ref="A1:B3"/>
    <mergeCell ref="D1:N1"/>
    <mergeCell ref="O1:P3"/>
    <mergeCell ref="Q1:Q3"/>
    <mergeCell ref="R1:R3"/>
    <mergeCell ref="A4:A6"/>
    <mergeCell ref="B4:B5"/>
    <mergeCell ref="D4:D5"/>
    <mergeCell ref="E4:E5"/>
    <mergeCell ref="F4:F5"/>
    <mergeCell ref="C4:C5"/>
    <mergeCell ref="Z1:Z3"/>
    <mergeCell ref="AA1:AA3"/>
    <mergeCell ref="AB1:AB3"/>
    <mergeCell ref="D2:N2"/>
    <mergeCell ref="D3:N3"/>
    <mergeCell ref="T1:T3"/>
    <mergeCell ref="U1:U3"/>
    <mergeCell ref="V1:V3"/>
    <mergeCell ref="W1:W3"/>
    <mergeCell ref="X1:X3"/>
    <mergeCell ref="Y1:Y3"/>
    <mergeCell ref="S1:S3"/>
    <mergeCell ref="Z8:AB8"/>
    <mergeCell ref="G4:G5"/>
    <mergeCell ref="H4:H5"/>
    <mergeCell ref="I4:I5"/>
    <mergeCell ref="J4:J5"/>
    <mergeCell ref="K4:K5"/>
    <mergeCell ref="L4:L5"/>
    <mergeCell ref="M4:M5"/>
    <mergeCell ref="O4:O5"/>
    <mergeCell ref="Z4:AB5"/>
    <mergeCell ref="Z6:AB6"/>
    <mergeCell ref="Z7:AB7"/>
    <mergeCell ref="Z33:AB33"/>
    <mergeCell ref="Z34:AB34"/>
    <mergeCell ref="Z27:AB27"/>
    <mergeCell ref="Z20:AB20"/>
    <mergeCell ref="Z9:AB9"/>
    <mergeCell ref="Z10:AB10"/>
    <mergeCell ref="Z11:AB11"/>
    <mergeCell ref="Z12:AB12"/>
    <mergeCell ref="Z13:AB13"/>
    <mergeCell ref="Z14:AB14"/>
    <mergeCell ref="Z15:AB15"/>
    <mergeCell ref="Z16:AB16"/>
    <mergeCell ref="Z17:AB17"/>
    <mergeCell ref="Z18:AB18"/>
    <mergeCell ref="Z19:AB19"/>
    <mergeCell ref="A38:B38"/>
    <mergeCell ref="Z38:AB38"/>
    <mergeCell ref="Z21:AB21"/>
    <mergeCell ref="Z22:AB22"/>
    <mergeCell ref="Z23:AB23"/>
    <mergeCell ref="Z24:AB24"/>
    <mergeCell ref="Z25:AB25"/>
    <mergeCell ref="Z26:AB26"/>
    <mergeCell ref="Z35:AB35"/>
    <mergeCell ref="Z36:AB36"/>
    <mergeCell ref="Z37:AB37"/>
    <mergeCell ref="Z28:AB28"/>
    <mergeCell ref="Z29:AB29"/>
    <mergeCell ref="Z30:AB30"/>
    <mergeCell ref="Z31:AB31"/>
    <mergeCell ref="Z32:AB32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C613-53BE-423A-BF06-821540C19448}">
  <sheetPr>
    <tabColor theme="9" tint="0.39997558519241921"/>
    <pageSetUpPr fitToPage="1"/>
  </sheetPr>
  <dimension ref="A1:AA49"/>
  <sheetViews>
    <sheetView zoomScale="90" zoomScaleNormal="90" workbookViewId="0">
      <pane xSplit="4" ySplit="5" topLeftCell="E17" activePane="bottomRight" state="frozen"/>
      <selection pane="bottomRight" sqref="A1:X37"/>
      <selection pane="bottomLeft"/>
      <selection pane="topRight"/>
    </sheetView>
  </sheetViews>
  <sheetFormatPr defaultColWidth="11.42578125" defaultRowHeight="14.45"/>
  <cols>
    <col min="1" max="1" width="9.140625" customWidth="1"/>
    <col min="2" max="2" width="12.42578125" customWidth="1"/>
    <col min="3" max="3" width="45.7109375" customWidth="1"/>
    <col min="4" max="4" width="7.42578125" style="21" customWidth="1"/>
    <col min="5" max="24" width="8.7109375" customWidth="1"/>
  </cols>
  <sheetData>
    <row r="1" spans="1:27" ht="20.100000000000001" customHeight="1">
      <c r="A1" s="175"/>
      <c r="B1" s="176"/>
      <c r="C1" s="176"/>
      <c r="D1" s="179" t="s">
        <v>78</v>
      </c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80"/>
      <c r="Y1" s="159"/>
      <c r="Z1" s="159"/>
      <c r="AA1" s="159"/>
    </row>
    <row r="2" spans="1:27" ht="15.6" customHeight="1">
      <c r="A2" s="177"/>
      <c r="B2" s="169"/>
      <c r="C2" s="16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81"/>
      <c r="Y2" s="159"/>
      <c r="Z2" s="159"/>
      <c r="AA2" s="159"/>
    </row>
    <row r="3" spans="1:27" ht="20.25" customHeight="1" thickBot="1">
      <c r="A3" s="178"/>
      <c r="B3" s="170"/>
      <c r="C3" s="170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82"/>
      <c r="Y3" s="159"/>
      <c r="Z3" s="159"/>
      <c r="AA3" s="159"/>
    </row>
    <row r="4" spans="1:27" ht="130.5" customHeight="1">
      <c r="A4" s="183" t="s">
        <v>2</v>
      </c>
      <c r="B4" s="185"/>
      <c r="C4" s="187"/>
      <c r="D4" s="189"/>
      <c r="E4" s="33" t="s">
        <v>79</v>
      </c>
      <c r="F4" s="33" t="s">
        <v>4</v>
      </c>
      <c r="G4" s="33" t="s">
        <v>5</v>
      </c>
      <c r="H4" s="33" t="s">
        <v>6</v>
      </c>
      <c r="I4" s="33" t="s">
        <v>80</v>
      </c>
      <c r="J4" s="33" t="s">
        <v>8</v>
      </c>
      <c r="K4" s="33" t="s">
        <v>9</v>
      </c>
      <c r="L4" s="33" t="s">
        <v>10</v>
      </c>
      <c r="M4" s="33" t="s">
        <v>11</v>
      </c>
      <c r="N4" s="33" t="s">
        <v>12</v>
      </c>
      <c r="O4" s="33" t="s">
        <v>13</v>
      </c>
      <c r="P4" s="34" t="s">
        <v>14</v>
      </c>
      <c r="Q4" s="37" t="s">
        <v>15</v>
      </c>
      <c r="R4" s="35" t="s">
        <v>16</v>
      </c>
      <c r="S4" s="34" t="s">
        <v>17</v>
      </c>
      <c r="T4" s="36" t="s">
        <v>19</v>
      </c>
      <c r="U4" s="34" t="s">
        <v>20</v>
      </c>
      <c r="V4" s="34" t="s">
        <v>21</v>
      </c>
      <c r="W4" s="34" t="s">
        <v>22</v>
      </c>
      <c r="X4" s="33" t="s">
        <v>23</v>
      </c>
      <c r="Y4" s="155"/>
      <c r="Z4" s="155"/>
      <c r="AA4" s="155"/>
    </row>
    <row r="5" spans="1:27" ht="15.75" customHeight="1" thickBot="1">
      <c r="A5" s="184"/>
      <c r="B5" s="186"/>
      <c r="C5" s="188"/>
      <c r="D5" s="190"/>
      <c r="E5" s="25" t="s">
        <v>24</v>
      </c>
      <c r="F5" s="26" t="s">
        <v>25</v>
      </c>
      <c r="G5" s="26" t="s">
        <v>26</v>
      </c>
      <c r="H5" s="26" t="s">
        <v>27</v>
      </c>
      <c r="I5" s="26" t="s">
        <v>28</v>
      </c>
      <c r="J5" s="26" t="s">
        <v>29</v>
      </c>
      <c r="K5" s="26" t="s">
        <v>30</v>
      </c>
      <c r="L5" s="26" t="s">
        <v>31</v>
      </c>
      <c r="M5" s="26" t="s">
        <v>32</v>
      </c>
      <c r="N5" s="27" t="s">
        <v>33</v>
      </c>
      <c r="O5" s="28" t="s">
        <v>34</v>
      </c>
      <c r="P5" s="27" t="s">
        <v>35</v>
      </c>
      <c r="Q5" s="38" t="s">
        <v>36</v>
      </c>
      <c r="R5" s="26" t="s">
        <v>37</v>
      </c>
      <c r="S5" s="27" t="s">
        <v>38</v>
      </c>
      <c r="T5" s="27" t="s">
        <v>40</v>
      </c>
      <c r="U5" s="27" t="s">
        <v>41</v>
      </c>
      <c r="V5" s="27" t="s">
        <v>42</v>
      </c>
      <c r="W5" s="27" t="s">
        <v>43</v>
      </c>
      <c r="X5" s="28" t="s">
        <v>44</v>
      </c>
      <c r="Y5" s="155"/>
      <c r="Z5" s="155"/>
      <c r="AA5" s="155"/>
    </row>
    <row r="6" spans="1:27" ht="15" customHeight="1" thickTop="1" thickBot="1">
      <c r="A6" s="68"/>
      <c r="B6" s="173" t="s">
        <v>45</v>
      </c>
      <c r="C6" s="174"/>
      <c r="D6" s="24" t="s">
        <v>47</v>
      </c>
      <c r="E6" s="49"/>
      <c r="F6" s="49"/>
      <c r="G6" s="49"/>
      <c r="H6" s="49"/>
      <c r="I6" s="49"/>
      <c r="J6" s="49"/>
      <c r="K6" s="49"/>
      <c r="L6" s="49"/>
      <c r="M6" s="49"/>
      <c r="N6" s="50"/>
      <c r="O6" s="69"/>
      <c r="P6" s="50"/>
      <c r="Q6" s="70"/>
      <c r="R6" s="71"/>
      <c r="S6" s="50"/>
      <c r="T6" s="50"/>
      <c r="U6" s="50"/>
      <c r="V6" s="50"/>
      <c r="W6" s="50"/>
      <c r="X6" s="72"/>
      <c r="Y6" s="155"/>
      <c r="Z6" s="155"/>
      <c r="AA6" s="155"/>
    </row>
    <row r="7" spans="1:27" ht="15" customHeight="1">
      <c r="A7" s="4">
        <v>1</v>
      </c>
      <c r="B7" s="74" t="s">
        <v>81</v>
      </c>
      <c r="C7" s="75" t="s">
        <v>50</v>
      </c>
      <c r="D7" s="76">
        <f t="shared" ref="D7:D35" si="0">SUM(E7:X7)</f>
        <v>60</v>
      </c>
      <c r="E7" s="77"/>
      <c r="F7" s="78"/>
      <c r="G7" s="78"/>
      <c r="H7" s="78">
        <v>60</v>
      </c>
      <c r="I7" s="78"/>
      <c r="J7" s="78"/>
      <c r="K7" s="78"/>
      <c r="L7" s="78"/>
      <c r="M7" s="78"/>
      <c r="N7" s="78"/>
      <c r="O7" s="78"/>
      <c r="P7" s="78"/>
      <c r="Q7" s="79"/>
      <c r="R7" s="80"/>
      <c r="S7" s="78"/>
      <c r="T7" s="78"/>
      <c r="U7" s="78"/>
      <c r="V7" s="78"/>
      <c r="W7" s="78"/>
      <c r="X7" s="81"/>
      <c r="Y7" s="155"/>
      <c r="Z7" s="155"/>
      <c r="AA7" s="155"/>
    </row>
    <row r="8" spans="1:27" ht="15" customHeight="1">
      <c r="A8" s="56">
        <v>1</v>
      </c>
      <c r="B8" s="82" t="s">
        <v>82</v>
      </c>
      <c r="C8" s="83" t="s">
        <v>83</v>
      </c>
      <c r="D8" s="84">
        <f t="shared" si="0"/>
        <v>45</v>
      </c>
      <c r="E8" s="85">
        <v>15</v>
      </c>
      <c r="F8" s="86"/>
      <c r="G8" s="86"/>
      <c r="H8" s="86"/>
      <c r="I8" s="86">
        <v>30</v>
      </c>
      <c r="J8" s="86"/>
      <c r="K8" s="86"/>
      <c r="L8" s="86"/>
      <c r="M8" s="86"/>
      <c r="N8" s="86"/>
      <c r="O8" s="86"/>
      <c r="P8" s="86"/>
      <c r="Q8" s="87"/>
      <c r="R8" s="88"/>
      <c r="S8" s="86"/>
      <c r="T8" s="86"/>
      <c r="U8" s="86"/>
      <c r="V8" s="86"/>
      <c r="W8" s="86"/>
      <c r="X8" s="89"/>
      <c r="Y8" s="155"/>
      <c r="Z8" s="155"/>
      <c r="AA8" s="155"/>
    </row>
    <row r="9" spans="1:27" ht="15" customHeight="1">
      <c r="A9" s="56">
        <v>1</v>
      </c>
      <c r="B9" s="82" t="s">
        <v>84</v>
      </c>
      <c r="C9" s="83" t="s">
        <v>85</v>
      </c>
      <c r="D9" s="84">
        <f t="shared" si="0"/>
        <v>75</v>
      </c>
      <c r="E9" s="85"/>
      <c r="F9" s="86"/>
      <c r="G9" s="86">
        <v>75</v>
      </c>
      <c r="H9" s="86"/>
      <c r="I9" s="86"/>
      <c r="J9" s="86"/>
      <c r="K9" s="86"/>
      <c r="L9" s="86"/>
      <c r="M9" s="86"/>
      <c r="N9" s="86"/>
      <c r="O9" s="86"/>
      <c r="P9" s="86"/>
      <c r="Q9" s="87"/>
      <c r="R9" s="88"/>
      <c r="S9" s="86"/>
      <c r="T9" s="86"/>
      <c r="U9" s="86"/>
      <c r="V9" s="86"/>
      <c r="W9" s="86"/>
      <c r="X9" s="89"/>
      <c r="Y9" s="155"/>
      <c r="Z9" s="155"/>
      <c r="AA9" s="155"/>
    </row>
    <row r="10" spans="1:27" ht="15" customHeight="1">
      <c r="A10" s="56">
        <v>1</v>
      </c>
      <c r="B10" s="82" t="s">
        <v>86</v>
      </c>
      <c r="C10" s="83" t="s">
        <v>87</v>
      </c>
      <c r="D10" s="84">
        <f t="shared" si="0"/>
        <v>60</v>
      </c>
      <c r="E10" s="85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88"/>
      <c r="S10" s="86"/>
      <c r="T10" s="86">
        <v>60</v>
      </c>
      <c r="U10" s="86"/>
      <c r="V10" s="86"/>
      <c r="W10" s="86"/>
      <c r="X10" s="89"/>
      <c r="Y10" s="155"/>
      <c r="Z10" s="155"/>
      <c r="AA10" s="155"/>
    </row>
    <row r="11" spans="1:27" ht="15" customHeight="1" thickBot="1">
      <c r="A11" s="56">
        <v>1</v>
      </c>
      <c r="B11" s="82" t="s">
        <v>88</v>
      </c>
      <c r="C11" s="83" t="s">
        <v>51</v>
      </c>
      <c r="D11" s="84">
        <f t="shared" si="0"/>
        <v>75</v>
      </c>
      <c r="E11" s="90"/>
      <c r="F11" s="91">
        <v>75</v>
      </c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2"/>
      <c r="R11" s="93"/>
      <c r="S11" s="91"/>
      <c r="T11" s="91"/>
      <c r="U11" s="91"/>
      <c r="V11" s="91"/>
      <c r="W11" s="91"/>
      <c r="X11" s="94"/>
      <c r="Y11" s="155"/>
      <c r="Z11" s="155"/>
      <c r="AA11" s="155"/>
    </row>
    <row r="12" spans="1:27" ht="15" customHeight="1">
      <c r="A12" s="4">
        <v>2</v>
      </c>
      <c r="B12" s="95" t="s">
        <v>89</v>
      </c>
      <c r="C12" s="96" t="s">
        <v>57</v>
      </c>
      <c r="D12" s="76">
        <f t="shared" si="0"/>
        <v>45</v>
      </c>
      <c r="E12" s="77"/>
      <c r="F12" s="78"/>
      <c r="G12" s="78"/>
      <c r="H12" s="78"/>
      <c r="I12" s="78"/>
      <c r="J12" s="78"/>
      <c r="K12" s="78"/>
      <c r="L12" s="78"/>
      <c r="M12" s="78"/>
      <c r="N12" s="78">
        <v>45</v>
      </c>
      <c r="O12" s="78"/>
      <c r="P12" s="78"/>
      <c r="Q12" s="79"/>
      <c r="R12" s="80"/>
      <c r="S12" s="78"/>
      <c r="T12" s="78"/>
      <c r="U12" s="78"/>
      <c r="V12" s="78"/>
      <c r="W12" s="78"/>
      <c r="X12" s="81"/>
      <c r="Y12" s="155"/>
      <c r="Z12" s="155"/>
      <c r="AA12" s="155"/>
    </row>
    <row r="13" spans="1:27" ht="15" customHeight="1">
      <c r="A13" s="56">
        <v>2</v>
      </c>
      <c r="B13" s="74" t="s">
        <v>90</v>
      </c>
      <c r="C13" s="75" t="s">
        <v>91</v>
      </c>
      <c r="D13" s="84">
        <f t="shared" si="0"/>
        <v>75</v>
      </c>
      <c r="E13" s="85"/>
      <c r="F13" s="86"/>
      <c r="G13" s="86"/>
      <c r="H13" s="86"/>
      <c r="I13" s="86"/>
      <c r="J13" s="86"/>
      <c r="K13" s="86">
        <v>75</v>
      </c>
      <c r="L13" s="86"/>
      <c r="M13" s="86"/>
      <c r="N13" s="86"/>
      <c r="O13" s="86"/>
      <c r="P13" s="86"/>
      <c r="Q13" s="87"/>
      <c r="R13" s="88"/>
      <c r="S13" s="86"/>
      <c r="T13" s="86"/>
      <c r="U13" s="86"/>
      <c r="V13" s="86"/>
      <c r="W13" s="86"/>
      <c r="X13" s="89"/>
      <c r="Y13" s="155"/>
      <c r="Z13" s="155"/>
      <c r="AA13" s="155"/>
    </row>
    <row r="14" spans="1:27" ht="15" customHeight="1">
      <c r="A14" s="97">
        <v>2</v>
      </c>
      <c r="B14" s="98" t="s">
        <v>92</v>
      </c>
      <c r="C14" s="99" t="s">
        <v>93</v>
      </c>
      <c r="D14" s="100">
        <f t="shared" si="0"/>
        <v>75</v>
      </c>
      <c r="E14" s="85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88"/>
      <c r="S14" s="86"/>
      <c r="T14" s="86">
        <v>75</v>
      </c>
      <c r="U14" s="86"/>
      <c r="V14" s="86"/>
      <c r="W14" s="86"/>
      <c r="X14" s="89"/>
      <c r="Y14" s="155"/>
      <c r="Z14" s="155"/>
      <c r="AA14" s="155"/>
    </row>
    <row r="15" spans="1:27" ht="15" customHeight="1">
      <c r="A15" s="56">
        <v>2</v>
      </c>
      <c r="B15" s="82" t="s">
        <v>94</v>
      </c>
      <c r="C15" s="83" t="s">
        <v>56</v>
      </c>
      <c r="D15" s="84">
        <f t="shared" si="0"/>
        <v>60</v>
      </c>
      <c r="E15" s="85"/>
      <c r="F15" s="86"/>
      <c r="G15" s="86"/>
      <c r="H15" s="86"/>
      <c r="I15" s="86"/>
      <c r="J15" s="86"/>
      <c r="K15" s="86"/>
      <c r="L15" s="86">
        <v>60</v>
      </c>
      <c r="M15" s="86"/>
      <c r="N15" s="86"/>
      <c r="O15" s="86"/>
      <c r="P15" s="86"/>
      <c r="Q15" s="87"/>
      <c r="R15" s="88"/>
      <c r="S15" s="86"/>
      <c r="T15" s="86"/>
      <c r="U15" s="86"/>
      <c r="V15" s="86"/>
      <c r="W15" s="86"/>
      <c r="X15" s="89"/>
      <c r="Y15" s="155"/>
      <c r="Z15" s="155"/>
      <c r="AA15" s="155"/>
    </row>
    <row r="16" spans="1:27" ht="15" customHeight="1">
      <c r="A16" s="101">
        <v>2</v>
      </c>
      <c r="B16" s="102" t="s">
        <v>95</v>
      </c>
      <c r="C16" s="103" t="s">
        <v>96</v>
      </c>
      <c r="D16" s="104">
        <f t="shared" si="0"/>
        <v>60</v>
      </c>
      <c r="E16" s="105"/>
      <c r="F16" s="106"/>
      <c r="G16" s="106"/>
      <c r="H16" s="106">
        <v>60</v>
      </c>
      <c r="I16" s="106"/>
      <c r="J16" s="106"/>
      <c r="K16" s="106"/>
      <c r="L16" s="106"/>
      <c r="M16" s="106"/>
      <c r="N16" s="106"/>
      <c r="O16" s="106"/>
      <c r="P16" s="106"/>
      <c r="Q16" s="107"/>
      <c r="R16" s="108"/>
      <c r="S16" s="106"/>
      <c r="T16" s="106"/>
      <c r="U16" s="106"/>
      <c r="V16" s="106"/>
      <c r="W16" s="106"/>
      <c r="X16" s="109"/>
      <c r="Y16" s="73"/>
      <c r="Z16" s="73"/>
      <c r="AA16" s="73"/>
    </row>
    <row r="17" spans="1:27" ht="15" customHeight="1">
      <c r="A17" s="97">
        <v>3</v>
      </c>
      <c r="B17" s="98" t="s">
        <v>97</v>
      </c>
      <c r="C17" s="99" t="s">
        <v>98</v>
      </c>
      <c r="D17" s="100">
        <f t="shared" si="0"/>
        <v>45</v>
      </c>
      <c r="E17" s="110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113"/>
      <c r="S17" s="111"/>
      <c r="T17" s="111"/>
      <c r="U17" s="111"/>
      <c r="V17" s="111"/>
      <c r="W17" s="111"/>
      <c r="X17" s="114">
        <v>45</v>
      </c>
      <c r="Y17" s="155"/>
      <c r="Z17" s="155"/>
      <c r="AA17" s="155"/>
    </row>
    <row r="18" spans="1:27" ht="15" customHeight="1">
      <c r="A18" s="56">
        <v>3</v>
      </c>
      <c r="B18" s="82" t="s">
        <v>99</v>
      </c>
      <c r="C18" s="83" t="s">
        <v>100</v>
      </c>
      <c r="D18" s="84">
        <f t="shared" si="0"/>
        <v>60</v>
      </c>
      <c r="E18" s="85"/>
      <c r="F18" s="86"/>
      <c r="G18" s="86"/>
      <c r="H18" s="86"/>
      <c r="I18" s="86"/>
      <c r="J18" s="86"/>
      <c r="K18" s="86">
        <v>60</v>
      </c>
      <c r="L18" s="86"/>
      <c r="M18" s="86"/>
      <c r="N18" s="86"/>
      <c r="O18" s="86"/>
      <c r="P18" s="86"/>
      <c r="Q18" s="87"/>
      <c r="R18" s="88"/>
      <c r="S18" s="86"/>
      <c r="T18" s="86"/>
      <c r="U18" s="86"/>
      <c r="V18" s="86"/>
      <c r="W18" s="86"/>
      <c r="X18" s="89"/>
      <c r="Y18" s="155"/>
      <c r="Z18" s="155"/>
      <c r="AA18" s="155"/>
    </row>
    <row r="19" spans="1:27" ht="15" customHeight="1">
      <c r="A19" s="56">
        <v>3</v>
      </c>
      <c r="B19" s="82" t="s">
        <v>101</v>
      </c>
      <c r="C19" s="83" t="s">
        <v>102</v>
      </c>
      <c r="D19" s="84">
        <f t="shared" si="0"/>
        <v>75</v>
      </c>
      <c r="E19" s="85"/>
      <c r="F19" s="86"/>
      <c r="G19" s="86"/>
      <c r="H19" s="86"/>
      <c r="I19" s="86"/>
      <c r="J19" s="86">
        <v>75</v>
      </c>
      <c r="K19" s="86"/>
      <c r="L19" s="86"/>
      <c r="M19" s="86"/>
      <c r="N19" s="86"/>
      <c r="O19" s="86"/>
      <c r="P19" s="86"/>
      <c r="Q19" s="87"/>
      <c r="R19" s="88"/>
      <c r="S19" s="86"/>
      <c r="T19" s="86"/>
      <c r="U19" s="86"/>
      <c r="V19" s="86"/>
      <c r="W19" s="86"/>
      <c r="X19" s="89"/>
      <c r="Y19" s="155"/>
      <c r="Z19" s="155"/>
      <c r="AA19" s="155"/>
    </row>
    <row r="20" spans="1:27" s="40" customFormat="1" ht="15" customHeight="1">
      <c r="A20" s="115">
        <v>3</v>
      </c>
      <c r="B20" s="82" t="s">
        <v>103</v>
      </c>
      <c r="C20" s="83" t="s">
        <v>104</v>
      </c>
      <c r="D20" s="84">
        <f t="shared" si="0"/>
        <v>60</v>
      </c>
      <c r="E20" s="85"/>
      <c r="F20" s="86"/>
      <c r="G20" s="86"/>
      <c r="H20" s="86"/>
      <c r="I20" s="86"/>
      <c r="J20" s="86"/>
      <c r="K20" s="86"/>
      <c r="L20" s="86"/>
      <c r="M20" s="86">
        <v>45</v>
      </c>
      <c r="N20" s="86">
        <v>15</v>
      </c>
      <c r="O20" s="116"/>
      <c r="P20" s="116"/>
      <c r="Q20" s="117"/>
      <c r="R20" s="118"/>
      <c r="S20" s="116"/>
      <c r="T20" s="116"/>
      <c r="U20" s="116"/>
      <c r="V20" s="116"/>
      <c r="W20" s="116"/>
      <c r="X20" s="119"/>
      <c r="Y20" s="39"/>
      <c r="Z20" s="39"/>
      <c r="AA20" s="39"/>
    </row>
    <row r="21" spans="1:27" ht="15" customHeight="1" thickBot="1">
      <c r="A21" s="60">
        <v>3</v>
      </c>
      <c r="B21" s="120" t="s">
        <v>105</v>
      </c>
      <c r="C21" s="121" t="s">
        <v>106</v>
      </c>
      <c r="D21" s="122">
        <f t="shared" si="0"/>
        <v>60</v>
      </c>
      <c r="E21" s="90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3">
        <v>30</v>
      </c>
      <c r="S21" s="91"/>
      <c r="T21" s="91"/>
      <c r="U21" s="91"/>
      <c r="V21" s="91"/>
      <c r="W21" s="91">
        <v>30</v>
      </c>
      <c r="X21" s="94"/>
      <c r="Y21" s="155"/>
      <c r="Z21" s="155"/>
      <c r="AA21" s="155"/>
    </row>
    <row r="22" spans="1:27" ht="15" customHeight="1">
      <c r="A22" s="97">
        <v>4</v>
      </c>
      <c r="B22" s="74" t="s">
        <v>107</v>
      </c>
      <c r="C22" s="75" t="s">
        <v>108</v>
      </c>
      <c r="D22" s="100">
        <f t="shared" si="0"/>
        <v>75</v>
      </c>
      <c r="E22" s="77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9"/>
      <c r="R22" s="80">
        <v>45</v>
      </c>
      <c r="S22" s="78"/>
      <c r="T22" s="78"/>
      <c r="U22" s="78"/>
      <c r="V22" s="78"/>
      <c r="W22" s="78">
        <v>30</v>
      </c>
      <c r="X22" s="81"/>
      <c r="Y22" s="155"/>
      <c r="Z22" s="155"/>
      <c r="AA22" s="155"/>
    </row>
    <row r="23" spans="1:27" ht="15" customHeight="1">
      <c r="A23" s="56">
        <v>4</v>
      </c>
      <c r="B23" s="82" t="s">
        <v>109</v>
      </c>
      <c r="C23" s="83" t="s">
        <v>110</v>
      </c>
      <c r="D23" s="84">
        <f t="shared" si="0"/>
        <v>60</v>
      </c>
      <c r="E23" s="85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7"/>
      <c r="R23" s="88"/>
      <c r="S23" s="86"/>
      <c r="T23" s="86"/>
      <c r="U23" s="86"/>
      <c r="V23" s="86">
        <v>45</v>
      </c>
      <c r="W23" s="86">
        <v>15</v>
      </c>
      <c r="X23" s="89"/>
      <c r="Y23" s="155"/>
      <c r="Z23" s="155"/>
      <c r="AA23" s="155"/>
    </row>
    <row r="24" spans="1:27" ht="15" customHeight="1">
      <c r="A24" s="56">
        <v>4</v>
      </c>
      <c r="B24" s="82" t="s">
        <v>111</v>
      </c>
      <c r="C24" s="83" t="s">
        <v>112</v>
      </c>
      <c r="D24" s="84">
        <f t="shared" si="0"/>
        <v>90</v>
      </c>
      <c r="E24" s="85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7"/>
      <c r="R24" s="88"/>
      <c r="S24" s="86"/>
      <c r="T24" s="123">
        <v>75</v>
      </c>
      <c r="U24" s="86"/>
      <c r="V24" s="86"/>
      <c r="W24" s="86"/>
      <c r="X24" s="89">
        <v>15</v>
      </c>
      <c r="Y24" s="155"/>
      <c r="Z24" s="155"/>
      <c r="AA24" s="155"/>
    </row>
    <row r="25" spans="1:27" ht="15" customHeight="1">
      <c r="A25" s="124">
        <v>4</v>
      </c>
      <c r="B25" s="125" t="s">
        <v>113</v>
      </c>
      <c r="C25" s="126" t="s">
        <v>114</v>
      </c>
      <c r="D25" s="127">
        <f t="shared" si="0"/>
        <v>60</v>
      </c>
      <c r="E25" s="85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7"/>
      <c r="R25" s="88"/>
      <c r="S25" s="86">
        <v>60</v>
      </c>
      <c r="T25" s="86"/>
      <c r="U25" s="86"/>
      <c r="V25" s="86"/>
      <c r="W25" s="86"/>
      <c r="X25" s="89"/>
      <c r="Y25" s="155"/>
      <c r="Z25" s="155"/>
      <c r="AA25" s="155"/>
    </row>
    <row r="26" spans="1:27" ht="15" customHeight="1" thickBot="1">
      <c r="A26" s="60">
        <v>4</v>
      </c>
      <c r="B26" s="120" t="s">
        <v>115</v>
      </c>
      <c r="C26" s="121" t="s">
        <v>116</v>
      </c>
      <c r="D26" s="122">
        <v>45</v>
      </c>
      <c r="E26" s="90"/>
      <c r="F26" s="91"/>
      <c r="G26" s="91"/>
      <c r="H26" s="91"/>
      <c r="I26" s="91"/>
      <c r="J26" s="91"/>
      <c r="K26" s="91"/>
      <c r="L26" s="91"/>
      <c r="M26" s="91"/>
      <c r="N26" s="91"/>
      <c r="O26" s="91">
        <v>30</v>
      </c>
      <c r="P26" s="91"/>
      <c r="Q26" s="92">
        <v>15</v>
      </c>
      <c r="R26" s="93"/>
      <c r="S26" s="91"/>
      <c r="T26" s="91"/>
      <c r="U26" s="91"/>
      <c r="V26" s="91"/>
      <c r="W26" s="91"/>
      <c r="X26" s="94"/>
      <c r="Y26" s="155"/>
      <c r="Z26" s="155"/>
      <c r="AA26" s="155"/>
    </row>
    <row r="27" spans="1:27" ht="15" customHeight="1">
      <c r="A27" s="4">
        <v>5</v>
      </c>
      <c r="B27" s="74" t="s">
        <v>117</v>
      </c>
      <c r="C27" s="128" t="s">
        <v>63</v>
      </c>
      <c r="D27" s="100">
        <f t="shared" si="0"/>
        <v>45</v>
      </c>
      <c r="E27" s="77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>
        <v>45</v>
      </c>
      <c r="Q27" s="79"/>
      <c r="R27" s="80"/>
      <c r="S27" s="78"/>
      <c r="T27" s="78"/>
      <c r="U27" s="78"/>
      <c r="V27" s="78"/>
      <c r="W27" s="78"/>
      <c r="X27" s="81"/>
      <c r="Y27" s="155"/>
      <c r="Z27" s="155"/>
      <c r="AA27" s="155"/>
    </row>
    <row r="28" spans="1:27" ht="15" customHeight="1">
      <c r="A28" s="56">
        <v>5</v>
      </c>
      <c r="B28" s="82" t="s">
        <v>118</v>
      </c>
      <c r="C28" s="83" t="s">
        <v>119</v>
      </c>
      <c r="D28" s="84">
        <f t="shared" si="0"/>
        <v>90</v>
      </c>
      <c r="E28" s="85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  <c r="R28" s="88"/>
      <c r="S28" s="86"/>
      <c r="T28" s="86"/>
      <c r="U28" s="86"/>
      <c r="V28" s="86">
        <v>90</v>
      </c>
      <c r="W28" s="86"/>
      <c r="X28" s="89"/>
      <c r="Y28" s="155"/>
      <c r="Z28" s="155"/>
      <c r="AA28" s="155"/>
    </row>
    <row r="29" spans="1:27" ht="15" customHeight="1">
      <c r="A29" s="56">
        <v>5</v>
      </c>
      <c r="B29" s="82" t="s">
        <v>120</v>
      </c>
      <c r="C29" s="83" t="s">
        <v>121</v>
      </c>
      <c r="D29" s="84">
        <f t="shared" si="0"/>
        <v>75</v>
      </c>
      <c r="E29" s="85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  <c r="R29" s="129"/>
      <c r="S29" s="86">
        <v>75</v>
      </c>
      <c r="T29" s="86"/>
      <c r="U29" s="86"/>
      <c r="V29" s="86"/>
      <c r="W29" s="86"/>
      <c r="X29" s="89"/>
      <c r="Y29" s="155"/>
      <c r="Z29" s="155"/>
      <c r="AA29" s="155"/>
    </row>
    <row r="30" spans="1:27" ht="15" customHeight="1">
      <c r="A30" s="97">
        <v>5</v>
      </c>
      <c r="B30" s="74" t="s">
        <v>122</v>
      </c>
      <c r="C30" s="75" t="s">
        <v>123</v>
      </c>
      <c r="D30" s="100">
        <f t="shared" si="0"/>
        <v>45</v>
      </c>
      <c r="E30" s="85"/>
      <c r="F30" s="86"/>
      <c r="G30" s="86"/>
      <c r="H30" s="86"/>
      <c r="I30" s="86"/>
      <c r="J30" s="86"/>
      <c r="K30" s="86"/>
      <c r="L30" s="86"/>
      <c r="M30" s="86">
        <v>45</v>
      </c>
      <c r="N30" s="86"/>
      <c r="O30" s="86"/>
      <c r="P30" s="86"/>
      <c r="Q30" s="87"/>
      <c r="R30" s="88"/>
      <c r="S30" s="86"/>
      <c r="T30" s="86"/>
      <c r="U30" s="86"/>
      <c r="V30" s="86"/>
      <c r="W30" s="86"/>
      <c r="X30" s="89"/>
      <c r="Y30" s="73"/>
      <c r="Z30" s="73"/>
      <c r="AA30" s="73"/>
    </row>
    <row r="31" spans="1:27" ht="15" customHeight="1">
      <c r="A31" s="97">
        <v>5</v>
      </c>
      <c r="B31" s="74" t="s">
        <v>124</v>
      </c>
      <c r="C31" s="75" t="s">
        <v>125</v>
      </c>
      <c r="D31" s="100">
        <f t="shared" si="0"/>
        <v>90</v>
      </c>
      <c r="E31" s="85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  <c r="R31" s="88"/>
      <c r="S31" s="86"/>
      <c r="T31" s="86"/>
      <c r="U31" s="86">
        <v>90</v>
      </c>
      <c r="V31" s="86"/>
      <c r="W31" s="86"/>
      <c r="X31" s="89"/>
      <c r="Y31" s="155"/>
      <c r="Z31" s="155"/>
      <c r="AA31" s="155"/>
    </row>
    <row r="32" spans="1:27" ht="15" customHeight="1" thickBot="1">
      <c r="A32" s="56">
        <v>5</v>
      </c>
      <c r="B32" s="130" t="s">
        <v>126</v>
      </c>
      <c r="C32" s="131" t="s">
        <v>127</v>
      </c>
      <c r="D32" s="84">
        <f t="shared" si="0"/>
        <v>45</v>
      </c>
      <c r="E32" s="90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93">
        <v>15</v>
      </c>
      <c r="S32" s="91"/>
      <c r="T32" s="91"/>
      <c r="U32" s="91">
        <v>15</v>
      </c>
      <c r="V32" s="91"/>
      <c r="W32" s="91">
        <v>15</v>
      </c>
      <c r="X32" s="94"/>
      <c r="Y32" s="155"/>
      <c r="Z32" s="155"/>
      <c r="AA32" s="155"/>
    </row>
    <row r="33" spans="1:27" ht="15" customHeight="1">
      <c r="A33" s="132">
        <v>6</v>
      </c>
      <c r="B33" s="133" t="s">
        <v>128</v>
      </c>
      <c r="C33" s="134" t="s">
        <v>129</v>
      </c>
      <c r="D33" s="135">
        <f t="shared" si="0"/>
        <v>270</v>
      </c>
      <c r="E33" s="77">
        <v>30</v>
      </c>
      <c r="F33" s="78"/>
      <c r="G33" s="78">
        <v>75</v>
      </c>
      <c r="H33" s="78"/>
      <c r="I33" s="78">
        <v>15</v>
      </c>
      <c r="J33" s="78"/>
      <c r="K33" s="78"/>
      <c r="L33" s="78"/>
      <c r="M33" s="78"/>
      <c r="N33" s="78"/>
      <c r="O33" s="78">
        <v>75</v>
      </c>
      <c r="P33" s="78"/>
      <c r="Q33" s="79">
        <v>75</v>
      </c>
      <c r="R33" s="80"/>
      <c r="S33" s="78"/>
      <c r="T33" s="78"/>
      <c r="U33" s="78"/>
      <c r="V33" s="78"/>
      <c r="W33" s="78"/>
      <c r="X33" s="81"/>
      <c r="Y33" s="155"/>
      <c r="Z33" s="155"/>
      <c r="AA33" s="155"/>
    </row>
    <row r="34" spans="1:27" ht="15" customHeight="1" thickBot="1">
      <c r="A34" s="51">
        <v>6</v>
      </c>
      <c r="B34" s="136" t="s">
        <v>130</v>
      </c>
      <c r="C34" s="137" t="s">
        <v>131</v>
      </c>
      <c r="D34" s="138">
        <f t="shared" si="0"/>
        <v>90</v>
      </c>
      <c r="E34" s="90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93"/>
      <c r="S34" s="91"/>
      <c r="T34" s="91"/>
      <c r="U34" s="91"/>
      <c r="V34" s="91"/>
      <c r="W34" s="91">
        <v>75</v>
      </c>
      <c r="X34" s="94">
        <v>15</v>
      </c>
      <c r="Y34" s="155"/>
      <c r="Z34" s="155"/>
      <c r="AA34" s="155"/>
    </row>
    <row r="35" spans="1:27" ht="15" customHeight="1" thickBot="1">
      <c r="A35" s="171" t="s">
        <v>77</v>
      </c>
      <c r="B35" s="172"/>
      <c r="C35" s="172"/>
      <c r="D35" s="139">
        <f t="shared" si="0"/>
        <v>2010</v>
      </c>
      <c r="E35" s="140">
        <f t="shared" ref="E35:X35" si="1">SUM(E7:E34)</f>
        <v>45</v>
      </c>
      <c r="F35" s="141">
        <f t="shared" si="1"/>
        <v>75</v>
      </c>
      <c r="G35" s="141">
        <f t="shared" si="1"/>
        <v>150</v>
      </c>
      <c r="H35" s="141">
        <f t="shared" si="1"/>
        <v>120</v>
      </c>
      <c r="I35" s="141">
        <f t="shared" si="1"/>
        <v>45</v>
      </c>
      <c r="J35" s="141">
        <f t="shared" si="1"/>
        <v>75</v>
      </c>
      <c r="K35" s="141">
        <f t="shared" si="1"/>
        <v>135</v>
      </c>
      <c r="L35" s="141">
        <f t="shared" si="1"/>
        <v>60</v>
      </c>
      <c r="M35" s="141">
        <f t="shared" si="1"/>
        <v>90</v>
      </c>
      <c r="N35" s="141">
        <f t="shared" si="1"/>
        <v>60</v>
      </c>
      <c r="O35" s="141">
        <f t="shared" si="1"/>
        <v>105</v>
      </c>
      <c r="P35" s="141">
        <f t="shared" si="1"/>
        <v>45</v>
      </c>
      <c r="Q35" s="142">
        <f t="shared" si="1"/>
        <v>90</v>
      </c>
      <c r="R35" s="140">
        <f t="shared" si="1"/>
        <v>90</v>
      </c>
      <c r="S35" s="141">
        <f t="shared" si="1"/>
        <v>135</v>
      </c>
      <c r="T35" s="141">
        <f t="shared" si="1"/>
        <v>210</v>
      </c>
      <c r="U35" s="141">
        <f t="shared" si="1"/>
        <v>105</v>
      </c>
      <c r="V35" s="141">
        <f t="shared" si="1"/>
        <v>135</v>
      </c>
      <c r="W35" s="141">
        <f t="shared" si="1"/>
        <v>165</v>
      </c>
      <c r="X35" s="143">
        <f t="shared" si="1"/>
        <v>75</v>
      </c>
      <c r="Y35" s="155"/>
      <c r="Z35" s="155"/>
      <c r="AA35" s="155"/>
    </row>
    <row r="37" spans="1:27" ht="27.95">
      <c r="C37" s="20" t="s">
        <v>132</v>
      </c>
    </row>
    <row r="49" spans="3:4" s="19" customFormat="1">
      <c r="C49"/>
      <c r="D49" s="22"/>
    </row>
  </sheetData>
  <mergeCells count="40">
    <mergeCell ref="A4:A5"/>
    <mergeCell ref="B4:B5"/>
    <mergeCell ref="C4:C5"/>
    <mergeCell ref="D4:D5"/>
    <mergeCell ref="Y4:AA4"/>
    <mergeCell ref="Y5:AA5"/>
    <mergeCell ref="A1:C3"/>
    <mergeCell ref="D1:X3"/>
    <mergeCell ref="Y1:Y3"/>
    <mergeCell ref="Z1:Z3"/>
    <mergeCell ref="AA1:AA3"/>
    <mergeCell ref="B6:C6"/>
    <mergeCell ref="Y6:AA6"/>
    <mergeCell ref="Y7:AA7"/>
    <mergeCell ref="Y8:AA8"/>
    <mergeCell ref="Y9:AA9"/>
    <mergeCell ref="Y10:AA10"/>
    <mergeCell ref="Y11:AA11"/>
    <mergeCell ref="Y12:AA12"/>
    <mergeCell ref="Y13:AA13"/>
    <mergeCell ref="Y14:AA14"/>
    <mergeCell ref="Y27:AA27"/>
    <mergeCell ref="Y15:AA15"/>
    <mergeCell ref="Y17:AA17"/>
    <mergeCell ref="Y18:AA18"/>
    <mergeCell ref="Y19:AA19"/>
    <mergeCell ref="Y21:AA21"/>
    <mergeCell ref="Y22:AA22"/>
    <mergeCell ref="Y23:AA23"/>
    <mergeCell ref="Y24:AA24"/>
    <mergeCell ref="Y25:AA25"/>
    <mergeCell ref="Y26:AA26"/>
    <mergeCell ref="A35:C35"/>
    <mergeCell ref="Y35:AA35"/>
    <mergeCell ref="Y28:AA28"/>
    <mergeCell ref="Y29:AA29"/>
    <mergeCell ref="Y31:AA31"/>
    <mergeCell ref="Y32:AA32"/>
    <mergeCell ref="Y33:AA33"/>
    <mergeCell ref="Y34:AA34"/>
  </mergeCells>
  <pageMargins left="0.51181102362204722" right="0.51181102362204722" top="0.74803149606299213" bottom="0.55118110236220474" header="0.31496062992125984" footer="0.31496062992125984"/>
  <pageSetup paperSize="5" scale="66" orientation="landscape" r:id="rId1"/>
  <headerFooter>
    <oddFooter>&amp;R&amp;D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03BF-B43C-4D25-9CDE-7526F8558B4B}">
  <dimension ref="A1:D32"/>
  <sheetViews>
    <sheetView tabSelected="1" workbookViewId="0">
      <selection activeCell="F20" sqref="F20"/>
    </sheetView>
  </sheetViews>
  <sheetFormatPr defaultColWidth="11.42578125" defaultRowHeight="14.45"/>
  <cols>
    <col min="1" max="2" width="11.42578125" style="23"/>
    <col min="3" max="3" width="44.42578125" style="31" customWidth="1"/>
    <col min="4" max="4" width="12.42578125" style="23" customWidth="1"/>
  </cols>
  <sheetData>
    <row r="1" spans="1:4" ht="18.75" customHeight="1">
      <c r="A1" s="29" t="s">
        <v>133</v>
      </c>
      <c r="B1" s="29" t="s">
        <v>134</v>
      </c>
      <c r="C1" s="29" t="s">
        <v>135</v>
      </c>
      <c r="D1" s="29" t="s">
        <v>136</v>
      </c>
    </row>
    <row r="2" spans="1:4" s="32" customFormat="1" ht="20.25" customHeight="1">
      <c r="A2" s="4">
        <v>1</v>
      </c>
      <c r="B2" s="74" t="s">
        <v>81</v>
      </c>
      <c r="C2" s="75" t="s">
        <v>50</v>
      </c>
      <c r="D2" s="144" t="s">
        <v>137</v>
      </c>
    </row>
    <row r="3" spans="1:4" s="32" customFormat="1" ht="20.25" customHeight="1">
      <c r="A3" s="56">
        <v>1</v>
      </c>
      <c r="B3" s="82" t="s">
        <v>82</v>
      </c>
      <c r="C3" s="83" t="s">
        <v>83</v>
      </c>
      <c r="D3" s="145" t="s">
        <v>138</v>
      </c>
    </row>
    <row r="4" spans="1:4" s="32" customFormat="1" ht="20.25" customHeight="1">
      <c r="A4" s="56">
        <v>1</v>
      </c>
      <c r="B4" s="82" t="s">
        <v>84</v>
      </c>
      <c r="C4" s="83" t="s">
        <v>85</v>
      </c>
      <c r="D4" s="145" t="s">
        <v>139</v>
      </c>
    </row>
    <row r="5" spans="1:4" s="32" customFormat="1" ht="20.25" customHeight="1">
      <c r="A5" s="56">
        <v>1</v>
      </c>
      <c r="B5" s="82" t="s">
        <v>86</v>
      </c>
      <c r="C5" s="83" t="s">
        <v>87</v>
      </c>
      <c r="D5" s="145" t="s">
        <v>140</v>
      </c>
    </row>
    <row r="6" spans="1:4" s="32" customFormat="1" ht="20.25" customHeight="1">
      <c r="A6" s="56">
        <v>1</v>
      </c>
      <c r="B6" s="82" t="s">
        <v>88</v>
      </c>
      <c r="C6" s="83" t="s">
        <v>51</v>
      </c>
      <c r="D6" s="145" t="s">
        <v>139</v>
      </c>
    </row>
    <row r="7" spans="1:4" s="32" customFormat="1" ht="20.25" customHeight="1">
      <c r="A7" s="4">
        <v>2</v>
      </c>
      <c r="B7" s="95" t="s">
        <v>89</v>
      </c>
      <c r="C7" s="96" t="s">
        <v>57</v>
      </c>
      <c r="D7" s="144" t="s">
        <v>141</v>
      </c>
    </row>
    <row r="8" spans="1:4" s="32" customFormat="1" ht="20.25" customHeight="1">
      <c r="A8" s="56">
        <v>2</v>
      </c>
      <c r="B8" s="74" t="s">
        <v>90</v>
      </c>
      <c r="C8" s="75" t="s">
        <v>91</v>
      </c>
      <c r="D8" s="145" t="s">
        <v>142</v>
      </c>
    </row>
    <row r="9" spans="1:4" s="32" customFormat="1" ht="20.25" customHeight="1">
      <c r="A9" s="97">
        <v>2</v>
      </c>
      <c r="B9" s="98" t="s">
        <v>92</v>
      </c>
      <c r="C9" s="99" t="s">
        <v>93</v>
      </c>
      <c r="D9" s="146" t="s">
        <v>142</v>
      </c>
    </row>
    <row r="10" spans="1:4" s="32" customFormat="1" ht="20.25" customHeight="1">
      <c r="A10" s="56">
        <v>2</v>
      </c>
      <c r="B10" s="82" t="s">
        <v>94</v>
      </c>
      <c r="C10" s="83" t="s">
        <v>56</v>
      </c>
      <c r="D10" s="145" t="s">
        <v>137</v>
      </c>
    </row>
    <row r="11" spans="1:4" s="32" customFormat="1" ht="20.25" customHeight="1">
      <c r="A11" s="101">
        <v>2</v>
      </c>
      <c r="B11" s="102" t="s">
        <v>95</v>
      </c>
      <c r="C11" s="103" t="s">
        <v>96</v>
      </c>
      <c r="D11" s="147" t="s">
        <v>137</v>
      </c>
    </row>
    <row r="12" spans="1:4" s="32" customFormat="1" ht="20.25" customHeight="1">
      <c r="A12" s="97">
        <v>3</v>
      </c>
      <c r="B12" s="98" t="s">
        <v>97</v>
      </c>
      <c r="C12" s="99" t="s">
        <v>98</v>
      </c>
      <c r="D12" s="146" t="s">
        <v>138</v>
      </c>
    </row>
    <row r="13" spans="1:4" s="32" customFormat="1" ht="20.25" customHeight="1">
      <c r="A13" s="56">
        <v>3</v>
      </c>
      <c r="B13" s="82" t="s">
        <v>99</v>
      </c>
      <c r="C13" s="83" t="s">
        <v>100</v>
      </c>
      <c r="D13" s="145" t="s">
        <v>137</v>
      </c>
    </row>
    <row r="14" spans="1:4" s="32" customFormat="1" ht="20.25" customHeight="1">
      <c r="A14" s="56">
        <v>3</v>
      </c>
      <c r="B14" s="82" t="s">
        <v>101</v>
      </c>
      <c r="C14" s="83" t="s">
        <v>102</v>
      </c>
      <c r="D14" s="145" t="s">
        <v>142</v>
      </c>
    </row>
    <row r="15" spans="1:4" s="32" customFormat="1" ht="20.25" customHeight="1">
      <c r="A15" s="115">
        <v>3</v>
      </c>
      <c r="B15" s="82" t="s">
        <v>103</v>
      </c>
      <c r="C15" s="83" t="s">
        <v>104</v>
      </c>
      <c r="D15" s="145" t="s">
        <v>137</v>
      </c>
    </row>
    <row r="16" spans="1:4" s="32" customFormat="1" ht="20.25" customHeight="1">
      <c r="A16" s="60">
        <v>3</v>
      </c>
      <c r="B16" s="120" t="s">
        <v>105</v>
      </c>
      <c r="C16" s="121" t="s">
        <v>106</v>
      </c>
      <c r="D16" s="148" t="s">
        <v>137</v>
      </c>
    </row>
    <row r="17" spans="1:4" s="32" customFormat="1" ht="20.25" customHeight="1">
      <c r="A17" s="97">
        <v>4</v>
      </c>
      <c r="B17" s="74" t="s">
        <v>107</v>
      </c>
      <c r="C17" s="75" t="s">
        <v>108</v>
      </c>
      <c r="D17" s="146" t="s">
        <v>142</v>
      </c>
    </row>
    <row r="18" spans="1:4" s="32" customFormat="1" ht="20.25" customHeight="1">
      <c r="A18" s="56">
        <v>4</v>
      </c>
      <c r="B18" s="82" t="s">
        <v>109</v>
      </c>
      <c r="C18" s="83" t="s">
        <v>110</v>
      </c>
      <c r="D18" s="145" t="s">
        <v>137</v>
      </c>
    </row>
    <row r="19" spans="1:4" s="32" customFormat="1" ht="20.25" customHeight="1">
      <c r="A19" s="56">
        <v>4</v>
      </c>
      <c r="B19" s="82" t="s">
        <v>111</v>
      </c>
      <c r="C19" s="83" t="s">
        <v>112</v>
      </c>
      <c r="D19" s="145" t="s">
        <v>143</v>
      </c>
    </row>
    <row r="20" spans="1:4" s="32" customFormat="1" ht="20.25" customHeight="1">
      <c r="A20" s="124">
        <v>4</v>
      </c>
      <c r="B20" s="125" t="s">
        <v>113</v>
      </c>
      <c r="C20" s="126" t="s">
        <v>114</v>
      </c>
      <c r="D20" s="149" t="s">
        <v>137</v>
      </c>
    </row>
    <row r="21" spans="1:4" s="32" customFormat="1" ht="20.25" customHeight="1">
      <c r="A21" s="60">
        <v>4</v>
      </c>
      <c r="B21" s="120" t="s">
        <v>115</v>
      </c>
      <c r="C21" s="121" t="s">
        <v>116</v>
      </c>
      <c r="D21" s="148" t="s">
        <v>138</v>
      </c>
    </row>
    <row r="22" spans="1:4" s="32" customFormat="1" ht="20.25" customHeight="1">
      <c r="A22" s="4">
        <v>5</v>
      </c>
      <c r="B22" s="74" t="s">
        <v>117</v>
      </c>
      <c r="C22" s="128" t="s">
        <v>63</v>
      </c>
      <c r="D22" s="146" t="s">
        <v>141</v>
      </c>
    </row>
    <row r="23" spans="1:4" s="32" customFormat="1" ht="20.25" customHeight="1">
      <c r="A23" s="56">
        <v>5</v>
      </c>
      <c r="B23" s="82" t="s">
        <v>118</v>
      </c>
      <c r="C23" s="83" t="s">
        <v>119</v>
      </c>
      <c r="D23" s="145" t="s">
        <v>144</v>
      </c>
    </row>
    <row r="24" spans="1:4" s="32" customFormat="1" ht="20.25" customHeight="1">
      <c r="A24" s="56">
        <v>5</v>
      </c>
      <c r="B24" s="82" t="s">
        <v>120</v>
      </c>
      <c r="C24" s="83" t="s">
        <v>121</v>
      </c>
      <c r="D24" s="145" t="s">
        <v>142</v>
      </c>
    </row>
    <row r="25" spans="1:4" s="32" customFormat="1" ht="20.25" customHeight="1">
      <c r="A25" s="97">
        <v>5</v>
      </c>
      <c r="B25" s="74" t="s">
        <v>122</v>
      </c>
      <c r="C25" s="75" t="s">
        <v>123</v>
      </c>
      <c r="D25" s="146" t="s">
        <v>141</v>
      </c>
    </row>
    <row r="26" spans="1:4" s="32" customFormat="1" ht="20.25" customHeight="1">
      <c r="A26" s="97">
        <v>5</v>
      </c>
      <c r="B26" s="74" t="s">
        <v>124</v>
      </c>
      <c r="C26" s="75" t="s">
        <v>125</v>
      </c>
      <c r="D26" s="146" t="s">
        <v>144</v>
      </c>
    </row>
    <row r="27" spans="1:4" s="32" customFormat="1" ht="20.25" customHeight="1">
      <c r="A27" s="56">
        <v>5</v>
      </c>
      <c r="B27" s="130" t="s">
        <v>126</v>
      </c>
      <c r="C27" s="131" t="s">
        <v>127</v>
      </c>
      <c r="D27" s="145" t="s">
        <v>141</v>
      </c>
    </row>
    <row r="28" spans="1:4" s="32" customFormat="1" ht="20.25" customHeight="1">
      <c r="A28" s="132">
        <v>6</v>
      </c>
      <c r="B28" s="133" t="s">
        <v>128</v>
      </c>
      <c r="C28" s="134" t="s">
        <v>129</v>
      </c>
      <c r="D28" s="150" t="s">
        <v>145</v>
      </c>
    </row>
    <row r="29" spans="1:4" s="32" customFormat="1" ht="20.25" customHeight="1">
      <c r="A29" s="51">
        <v>6</v>
      </c>
      <c r="B29" s="136" t="s">
        <v>130</v>
      </c>
      <c r="C29" s="137" t="s">
        <v>131</v>
      </c>
      <c r="D29" s="151" t="s">
        <v>146</v>
      </c>
    </row>
    <row r="31" spans="1:4" ht="21" customHeight="1">
      <c r="C31" s="30" t="s">
        <v>147</v>
      </c>
    </row>
    <row r="32" spans="1:4">
      <c r="C32" s="31" t="s">
        <v>148</v>
      </c>
    </row>
  </sheetData>
  <sortState xmlns:xlrd2="http://schemas.microsoft.com/office/spreadsheetml/2017/richdata2" ref="A1:D31">
    <sortCondition ref="B2:B6"/>
  </sortState>
  <printOptions horizontalCentered="1"/>
  <pageMargins left="0.70866141732283472" right="0.70866141732283472" top="1.1417322834645669" bottom="0.74803149606299213" header="0.31496062992125984" footer="0.31496062992125984"/>
  <pageSetup orientation="portrait" r:id="rId1"/>
  <headerFooter>
    <oddHeader>&amp;C&amp;"Times New Roman,Gras"&amp;12 420.B0  Techniques de l'informatique
Liste des cours</oddHeader>
    <oddFooter>&amp;R&amp;D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E906511B30244D966A09DF27A52863" ma:contentTypeVersion="12" ma:contentTypeDescription="Crée un document." ma:contentTypeScope="" ma:versionID="30d68106061c795625aad4befcadf782">
  <xsd:schema xmlns:xsd="http://www.w3.org/2001/XMLSchema" xmlns:xs="http://www.w3.org/2001/XMLSchema" xmlns:p="http://schemas.microsoft.com/office/2006/metadata/properties" xmlns:ns2="732818ea-b8b7-4a74-a63f-27624bbc2196" xmlns:ns3="14905812-c733-457a-8255-9ec674cba19c" targetNamespace="http://schemas.microsoft.com/office/2006/metadata/properties" ma:root="true" ma:fieldsID="bf7e19620b6f767612c9c7d76feec9a2" ns2:_="" ns3:_="">
    <xsd:import namespace="732818ea-b8b7-4a74-a63f-27624bbc2196"/>
    <xsd:import namespace="14905812-c733-457a-8255-9ec674cba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818ea-b8b7-4a74-a63f-27624bbc2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05812-c733-457a-8255-9ec674cba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4905812-c733-457a-8255-9ec674cba19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4190416-7E55-4AB6-A0F0-4DE24A623E4B}"/>
</file>

<file path=customXml/itemProps2.xml><?xml version="1.0" encoding="utf-8"?>
<ds:datastoreItem xmlns:ds="http://schemas.openxmlformats.org/officeDocument/2006/customXml" ds:itemID="{F60DAC7D-C29E-47BC-AB7D-499FD456F2DA}"/>
</file>

<file path=customXml/itemProps3.xml><?xml version="1.0" encoding="utf-8"?>
<ds:datastoreItem xmlns:ds="http://schemas.openxmlformats.org/officeDocument/2006/customXml" ds:itemID="{7C095AAF-CEE8-431A-8F35-DC1A8C2987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 Labelle</dc:creator>
  <cp:keywords/>
  <dc:description/>
  <cp:lastModifiedBy>Éric Blais</cp:lastModifiedBy>
  <cp:revision/>
  <dcterms:created xsi:type="dcterms:W3CDTF">2020-01-20T14:47:17Z</dcterms:created>
  <dcterms:modified xsi:type="dcterms:W3CDTF">2022-04-05T16:13:41Z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0x0101002EE906511B30244D966A09DF27A52863</vt:lpwstr>
  </property>
  <property fmtid="{D5CDD505-2E9C-101B-9397-08002B2CF9AE}" pid="3" name="Order">
    <vt:r8>4100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